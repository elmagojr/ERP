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OME OFFICE\ERP- COMEGCEN - SEMUBI - FLOR\ERP - SISC\ERP\textos\"/>
    </mc:Choice>
  </mc:AlternateContent>
  <xr:revisionPtr revIDLastSave="0" documentId="8_{17A2A680-8821-4AA0-B871-CF7C2CF71D71}" xr6:coauthVersionLast="47" xr6:coauthVersionMax="47" xr10:uidLastSave="{00000000-0000-0000-0000-000000000000}"/>
  <bookViews>
    <workbookView xWindow="-28920" yWindow="-120" windowWidth="29040" windowHeight="15720" xr2:uid="{D079A848-55F4-4C5D-9D44-909026F5A5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7" i="1" l="1"/>
  <c r="N24" i="1"/>
  <c r="I16" i="1"/>
  <c r="H15" i="1"/>
  <c r="J15" i="1"/>
  <c r="K13" i="1"/>
  <c r="J12" i="1"/>
  <c r="I12" i="1"/>
  <c r="K11" i="1"/>
  <c r="K10" i="1"/>
  <c r="J11" i="1"/>
  <c r="J13" i="1"/>
  <c r="J10" i="1"/>
  <c r="I14" i="1" l="1"/>
  <c r="J14" i="1" s="1"/>
  <c r="K12" i="1"/>
</calcChain>
</file>

<file path=xl/sharedStrings.xml><?xml version="1.0" encoding="utf-8"?>
<sst xmlns="http://schemas.openxmlformats.org/spreadsheetml/2006/main" count="12" uniqueCount="10">
  <si>
    <t>Fecha</t>
  </si>
  <si>
    <t>Tipo</t>
  </si>
  <si>
    <t>Cant</t>
  </si>
  <si>
    <t>Costo</t>
  </si>
  <si>
    <t>Valor</t>
  </si>
  <si>
    <t>Entrada</t>
  </si>
  <si>
    <t>Salida</t>
  </si>
  <si>
    <t>salida</t>
  </si>
  <si>
    <t>Costo prom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</si>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</sst>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0" fontId="0" fillId="2" borderId="1" xfId="0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429D-F4E1-45B1-82F9-DA3ED45B5A4C}">
  <dimension ref="F9:N27"/>
  <sheetViews>
    <sheetView tabSelected="1" workbookViewId="0">
      <selection activeCell="K21" sqref="K21"/>
    </sheetView>
  </sheetViews>
  <sheetFormatPr baseColWidth="10" defaultRowHeight="14.4" x14ac:dyDescent="0.3"/>
  <cols>
    <col min="9" max="9" width="12.5546875" bestFit="1" customWidth="1"/>
    <col min="10" max="10" width="13.21875" bestFit="1" customWidth="1"/>
  </cols>
  <sheetData>
    <row r="9" spans="6:11" x14ac:dyDescent="0.3">
      <c r="F9" s="1" t="s">
        <v>0</v>
      </c>
      <c r="G9" s="1" t="s">
        <v>1</v>
      </c>
      <c r="H9" s="1" t="s">
        <v>2</v>
      </c>
      <c r="I9" s="1" t="s">
        <v>3</v>
      </c>
      <c r="J9" s="1" t="s">
        <v>4</v>
      </c>
      <c r="K9" s="1" t="s">
        <v>9</v>
      </c>
    </row>
    <row r="10" spans="6:11" x14ac:dyDescent="0.3">
      <c r="F10" s="2">
        <v>46023</v>
      </c>
      <c r="G10" s="3" t="s">
        <v>5</v>
      </c>
      <c r="H10" s="3">
        <v>50</v>
      </c>
      <c r="I10" s="3">
        <v>45</v>
      </c>
      <c r="J10" s="3">
        <f>I10*H10</f>
        <v>2250</v>
      </c>
      <c r="K10" s="4">
        <f>J10/H10</f>
        <v>45</v>
      </c>
    </row>
    <row r="11" spans="6:11" x14ac:dyDescent="0.3">
      <c r="F11" s="2">
        <v>46024</v>
      </c>
      <c r="G11" s="3" t="s">
        <v>5</v>
      </c>
      <c r="H11" s="3">
        <v>100</v>
      </c>
      <c r="I11" s="3">
        <v>50</v>
      </c>
      <c r="J11" s="3">
        <f t="shared" ref="J11:J14" si="0">I11*H11</f>
        <v>5000</v>
      </c>
      <c r="K11" s="4">
        <f>SUM(J10:J11)/SUM(H10:H11)</f>
        <v>48.333333333333336</v>
      </c>
    </row>
    <row r="12" spans="6:11" x14ac:dyDescent="0.3">
      <c r="F12" s="2">
        <v>46027</v>
      </c>
      <c r="G12" s="3" t="s">
        <v>6</v>
      </c>
      <c r="H12" s="3">
        <v>-60</v>
      </c>
      <c r="I12" s="5">
        <f>K11</f>
        <v>48.333333333333336</v>
      </c>
      <c r="J12" s="5">
        <f>H12*I12</f>
        <v>-2900</v>
      </c>
      <c r="K12" s="4">
        <f t="shared" ref="K11:K13" si="1">J12/H12</f>
        <v>48.333333333333336</v>
      </c>
    </row>
    <row r="13" spans="6:11" x14ac:dyDescent="0.3">
      <c r="F13" s="2">
        <v>46032</v>
      </c>
      <c r="G13" s="3" t="s">
        <v>5</v>
      </c>
      <c r="H13" s="3">
        <v>20</v>
      </c>
      <c r="I13" s="3">
        <v>80</v>
      </c>
      <c r="J13" s="3">
        <f t="shared" si="0"/>
        <v>1600</v>
      </c>
      <c r="K13" s="4">
        <f>SUM(J10:J13)/SUM(H10:H13)</f>
        <v>54.090909090909093</v>
      </c>
    </row>
    <row r="14" spans="6:11" x14ac:dyDescent="0.3">
      <c r="F14" s="2">
        <v>46033</v>
      </c>
      <c r="G14" s="3" t="s">
        <v>7</v>
      </c>
      <c r="H14" s="3">
        <v>-5</v>
      </c>
      <c r="I14" s="4">
        <f>K13</f>
        <v>54.090909090909093</v>
      </c>
      <c r="J14" s="3">
        <f t="shared" si="0"/>
        <v>-270.4545454545455</v>
      </c>
      <c r="K14" s="4"/>
    </row>
    <row r="15" spans="6:11" x14ac:dyDescent="0.3">
      <c r="F15" s="4"/>
      <c r="G15" s="4"/>
      <c r="H15" s="4">
        <f>SUM(H10:H14)</f>
        <v>105</v>
      </c>
      <c r="I15" s="4"/>
      <c r="J15" s="5">
        <f>SUM(J10:J14)</f>
        <v>5679.545454545454</v>
      </c>
      <c r="K15" s="4"/>
    </row>
    <row r="16" spans="6:11" x14ac:dyDescent="0.3">
      <c r="F16" s="4"/>
      <c r="G16" s="4"/>
      <c r="H16" s="4" t="s">
        <v>8</v>
      </c>
      <c r="I16" s="6">
        <f>J15/H15</f>
        <v>54.090909090909086</v>
      </c>
      <c r="J16" s="4"/>
      <c r="K16" s="4"/>
    </row>
    <row r="24" spans="12:14" x14ac:dyDescent="0.3">
      <c r="L24" s="7">
        <v>16316.4</v>
      </c>
      <c r="M24" s="7">
        <v>16167.86</v>
      </c>
      <c r="N24" s="7">
        <f>L24-M24</f>
        <v>148.53999999999905</v>
      </c>
    </row>
    <row r="26" spans="12:14" x14ac:dyDescent="0.3">
      <c r="L26" s="7">
        <v>672405.87</v>
      </c>
    </row>
    <row r="27" spans="12:14" x14ac:dyDescent="0.3">
      <c r="L27">
        <f>L26/L24</f>
        <v>41.210430609693319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Ranses  Flores Romero</dc:creator>
  <cp:lastModifiedBy>Johann Ranses  Flores Romero</cp:lastModifiedBy>
  <dcterms:created xsi:type="dcterms:W3CDTF">2026-05-21T16:46:31Z</dcterms:created>
  <dcterms:modified xsi:type="dcterms:W3CDTF">2026-05-21T23:07:53Z</dcterms:modified>
</cp:coreProperties>
</file>