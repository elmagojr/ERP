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OME OFFICE\ERP- COMEGCEN - SEMUBI - FLOR\ERP - SISC\ERP\textos\"/>
    </mc:Choice>
  </mc:AlternateContent>
  <xr:revisionPtr revIDLastSave="0" documentId="13_ncr:1_{09CBA480-9B08-40AA-8656-A5C6B59ED788}" xr6:coauthVersionLast="47" xr6:coauthVersionMax="47" xr10:uidLastSave="{00000000-0000-0000-0000-000000000000}"/>
  <bookViews>
    <workbookView xWindow="17790" yWindow="1515" windowWidth="18000" windowHeight="13275" activeTab="1" xr2:uid="{83D018AE-4958-4A42-AA40-75C65243AE32}"/>
  </bookViews>
  <sheets>
    <sheet name="Hoja1" sheetId="1" r:id="rId1"/>
    <sheet name="MINI KARDEX POR MEX" sheetId="2" r:id="rId2"/>
    <sheet name="Hoja3" sheetId="3" r:id="rId3"/>
  </sheets>
  <definedNames>
    <definedName name="_xlnm._FilterDatabase" localSheetId="0" hidden="1">Hoja1!$A$1:$L$31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V24" i="2"/>
  <c r="O21" i="2"/>
  <c r="X14" i="2"/>
  <c r="O19" i="2"/>
  <c r="Q18" i="2"/>
  <c r="O17" i="2"/>
  <c r="O15" i="2"/>
  <c r="O13" i="2"/>
  <c r="P14" i="2"/>
  <c r="Q14" i="2" s="1"/>
  <c r="S12" i="2"/>
  <c r="S14" i="2" s="1"/>
  <c r="P12" i="2"/>
  <c r="Q12" i="2" s="1"/>
  <c r="R12" i="2" s="1"/>
  <c r="R11" i="2"/>
  <c r="Q11" i="2"/>
  <c r="O10" i="2"/>
  <c r="R9" i="2"/>
  <c r="Q9" i="2"/>
  <c r="O8" i="2"/>
  <c r="S7" i="2"/>
  <c r="R7" i="2"/>
  <c r="Q7" i="2"/>
  <c r="P7" i="2"/>
  <c r="S5" i="2"/>
  <c r="O6" i="2"/>
  <c r="Q5" i="2"/>
  <c r="R5" i="2" s="1"/>
  <c r="P5" i="2"/>
  <c r="S3" i="2"/>
  <c r="O4" i="2"/>
  <c r="Q3" i="2"/>
  <c r="Q2" i="2"/>
  <c r="C1" i="1"/>
  <c r="I9" i="3"/>
  <c r="I7" i="3"/>
  <c r="H20" i="3"/>
  <c r="I18" i="3"/>
  <c r="I15" i="3"/>
  <c r="I13" i="3"/>
  <c r="I11" i="3"/>
  <c r="I5" i="3"/>
  <c r="H17" i="3"/>
  <c r="H12" i="3"/>
  <c r="H10" i="3"/>
  <c r="H3" i="3"/>
  <c r="F21" i="2"/>
  <c r="H3" i="2"/>
  <c r="H5" i="2" s="1"/>
  <c r="F11" i="2"/>
  <c r="F15" i="2"/>
  <c r="D4" i="2"/>
  <c r="D6" i="2" s="1"/>
  <c r="D8" i="2" s="1"/>
  <c r="D10" i="2" s="1"/>
  <c r="D12" i="2" s="1"/>
  <c r="D14" i="2" s="1"/>
  <c r="D16" i="2" s="1"/>
  <c r="D18" i="2" s="1"/>
  <c r="D20" i="2" s="1"/>
  <c r="D22" i="2" s="1"/>
  <c r="D24" i="2" s="1"/>
  <c r="G41" i="2"/>
  <c r="F37" i="2"/>
  <c r="F36" i="2"/>
  <c r="F3" i="2"/>
  <c r="F2" i="2"/>
  <c r="G3" i="2" s="1"/>
  <c r="P16" i="2" l="1"/>
  <c r="Q16" i="2" s="1"/>
  <c r="S16" i="2"/>
  <c r="R14" i="2"/>
  <c r="G37" i="2"/>
  <c r="R3" i="2"/>
  <c r="I20" i="3"/>
  <c r="E7" i="2"/>
  <c r="F7" i="2" s="1"/>
  <c r="H7" i="2"/>
  <c r="E5" i="2"/>
  <c r="F5" i="2" s="1"/>
  <c r="G5" i="2" s="1"/>
  <c r="G7" i="2" s="1"/>
  <c r="R16" i="2" l="1"/>
  <c r="R18" i="2" s="1"/>
  <c r="S18" i="2" s="1"/>
  <c r="P20" i="2" s="1"/>
  <c r="Q20" i="2" s="1"/>
  <c r="R20" i="2" s="1"/>
  <c r="E9" i="2"/>
  <c r="F9" i="2" s="1"/>
  <c r="G9" i="2" s="1"/>
  <c r="H9" i="2"/>
  <c r="G11" i="2" l="1"/>
  <c r="H11" i="2" l="1"/>
  <c r="H13" i="2" l="1"/>
  <c r="E13" i="2"/>
  <c r="F13" i="2" s="1"/>
  <c r="G13" i="2" l="1"/>
  <c r="G15" i="2" l="1"/>
  <c r="H15" i="2" l="1"/>
  <c r="H17" i="2" l="1"/>
  <c r="E17" i="2"/>
  <c r="F17" i="2" s="1"/>
  <c r="G17" i="2" s="1"/>
  <c r="E19" i="2" l="1"/>
  <c r="F19" i="2" s="1"/>
  <c r="G19" i="2" s="1"/>
  <c r="G21" i="2" s="1"/>
  <c r="H19" i="2"/>
  <c r="H21" i="2" l="1"/>
  <c r="H23" i="2" l="1"/>
  <c r="E23" i="2"/>
  <c r="F23" i="2" s="1"/>
  <c r="G23" i="2" s="1"/>
  <c r="H39" i="2" l="1"/>
  <c r="H42" i="2"/>
</calcChain>
</file>

<file path=xl/sharedStrings.xml><?xml version="1.0" encoding="utf-8"?>
<sst xmlns="http://schemas.openxmlformats.org/spreadsheetml/2006/main" count="77" uniqueCount="17">
  <si>
    <t>e</t>
  </si>
  <si>
    <t>s</t>
  </si>
  <si>
    <t>E</t>
  </si>
  <si>
    <t>marzo</t>
  </si>
  <si>
    <t>junio</t>
  </si>
  <si>
    <t>mer por mes</t>
  </si>
  <si>
    <t>cp enero</t>
  </si>
  <si>
    <t>INICIAL</t>
  </si>
  <si>
    <t>ENERO</t>
  </si>
  <si>
    <t>S</t>
  </si>
  <si>
    <t>UNIDADES</t>
  </si>
  <si>
    <t>FEBRERO</t>
  </si>
  <si>
    <t>MARZO</t>
  </si>
  <si>
    <t>ABRIL</t>
  </si>
  <si>
    <t>A ENERO</t>
  </si>
  <si>
    <t>MAYO</t>
  </si>
  <si>
    <t>exportacion a excel conforme al neuvo reporte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</si>
</sst>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XDR&quot;* #,##0.00_-;\-&quot;XDR&quot;* #,##0.00_-;_-&quot;XDR&quot;* &quot;-&quot;??_-;_-@_-"/>
    <numFmt numFmtId="164" formatCode="_-[$$-80A]* #,##0.00_-;\-[$$-80A]* #,##0.00_-;_-[$$-80A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164" fontId="0" fillId="3" borderId="0" xfId="0" applyNumberFormat="1" applyFill="1"/>
    <xf numFmtId="164" fontId="0" fillId="4" borderId="0" xfId="0" applyNumberFormat="1" applyFill="1"/>
    <xf numFmtId="0" fontId="0" fillId="0" borderId="1" xfId="0" applyBorder="1"/>
    <xf numFmtId="17" fontId="0" fillId="3" borderId="1" xfId="0" applyNumberFormat="1" applyFill="1" applyBorder="1"/>
    <xf numFmtId="0" fontId="0" fillId="3" borderId="1" xfId="0" applyFill="1" applyBorder="1"/>
    <xf numFmtId="0" fontId="0" fillId="0" borderId="0" xfId="0" applyFill="1"/>
    <xf numFmtId="164" fontId="0" fillId="0" borderId="0" xfId="0" applyNumberFormat="1" applyFill="1"/>
    <xf numFmtId="0" fontId="0" fillId="3" borderId="0" xfId="0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6BE8-EFF3-4228-B13B-A5B63F25C695}">
  <dimension ref="B1:M45"/>
  <sheetViews>
    <sheetView workbookViewId="0">
      <selection activeCell="C1" sqref="C1"/>
    </sheetView>
  </sheetViews>
  <sheetFormatPr baseColWidth="10" defaultRowHeight="15" x14ac:dyDescent="0.25"/>
  <cols>
    <col min="2" max="2" width="13.7109375" bestFit="1" customWidth="1"/>
    <col min="3" max="3" width="14.7109375" bestFit="1" customWidth="1"/>
    <col min="4" max="4" width="13.28515625" customWidth="1"/>
    <col min="5" max="5" width="16.28515625" customWidth="1"/>
    <col min="6" max="6" width="13.7109375" bestFit="1" customWidth="1"/>
    <col min="8" max="8" width="20.28515625" customWidth="1"/>
    <col min="9" max="9" width="2.140625" customWidth="1"/>
    <col min="10" max="10" width="6.28515625" customWidth="1"/>
    <col min="12" max="12" width="14.28515625" customWidth="1"/>
    <col min="13" max="13" width="13.7109375" bestFit="1" customWidth="1"/>
    <col min="14" max="14" width="12.28515625" bestFit="1" customWidth="1"/>
  </cols>
  <sheetData>
    <row r="1" spans="2:13" x14ac:dyDescent="0.25">
      <c r="B1" s="2">
        <v>1054500</v>
      </c>
      <c r="C1" s="2">
        <f>B1/1410</f>
        <v>747.87234042553189</v>
      </c>
    </row>
    <row r="2" spans="2:13" x14ac:dyDescent="0.25">
      <c r="M2" s="2"/>
    </row>
    <row r="3" spans="2:13" x14ac:dyDescent="0.25">
      <c r="C3" s="1"/>
      <c r="F3" s="1"/>
      <c r="M3" s="2"/>
    </row>
    <row r="4" spans="2:13" x14ac:dyDescent="0.25">
      <c r="C4" s="1"/>
      <c r="F4" s="1"/>
      <c r="M4" s="2"/>
    </row>
    <row r="5" spans="2:13" x14ac:dyDescent="0.25">
      <c r="C5" s="2"/>
      <c r="F5" s="1"/>
      <c r="M5" s="2"/>
    </row>
    <row r="6" spans="2:13" x14ac:dyDescent="0.25">
      <c r="C6" s="2"/>
      <c r="M6" s="2"/>
    </row>
    <row r="7" spans="2:13" x14ac:dyDescent="0.25">
      <c r="B7" s="2"/>
      <c r="C7" s="2"/>
      <c r="M7" s="2"/>
    </row>
    <row r="8" spans="2:13" x14ac:dyDescent="0.25">
      <c r="M8" s="2"/>
    </row>
    <row r="9" spans="2:13" x14ac:dyDescent="0.25">
      <c r="D9" s="2"/>
      <c r="M9" s="2"/>
    </row>
    <row r="10" spans="2:13" x14ac:dyDescent="0.25">
      <c r="D10" s="2"/>
      <c r="M10" s="2"/>
    </row>
    <row r="11" spans="2:13" x14ac:dyDescent="0.25">
      <c r="M11" s="2"/>
    </row>
    <row r="12" spans="2:13" x14ac:dyDescent="0.25">
      <c r="M12" s="2"/>
    </row>
    <row r="13" spans="2:13" x14ac:dyDescent="0.25">
      <c r="M13" s="2"/>
    </row>
    <row r="14" spans="2:13" x14ac:dyDescent="0.25">
      <c r="D14" s="4"/>
      <c r="E14" s="4"/>
      <c r="M14" s="2"/>
    </row>
    <row r="15" spans="2:13" x14ac:dyDescent="0.25">
      <c r="M15" s="2"/>
    </row>
    <row r="16" spans="2:13" x14ac:dyDescent="0.25">
      <c r="M16" s="2"/>
    </row>
    <row r="17" spans="2:13" x14ac:dyDescent="0.25">
      <c r="M17" s="2"/>
    </row>
    <row r="18" spans="2:13" x14ac:dyDescent="0.25">
      <c r="M18" s="2"/>
    </row>
    <row r="19" spans="2:13" x14ac:dyDescent="0.25">
      <c r="M19" s="2"/>
    </row>
    <row r="20" spans="2:13" x14ac:dyDescent="0.25">
      <c r="C20" s="2"/>
      <c r="M20" s="2"/>
    </row>
    <row r="21" spans="2:13" x14ac:dyDescent="0.25">
      <c r="C21" s="1"/>
      <c r="E21" s="3"/>
      <c r="F21" s="2"/>
      <c r="M21" s="2"/>
    </row>
    <row r="22" spans="2:13" x14ac:dyDescent="0.25">
      <c r="M22" s="2"/>
    </row>
    <row r="23" spans="2:13" x14ac:dyDescent="0.25">
      <c r="M23" s="2"/>
    </row>
    <row r="24" spans="2:13" x14ac:dyDescent="0.25">
      <c r="M24" s="2"/>
    </row>
    <row r="25" spans="2:13" x14ac:dyDescent="0.25">
      <c r="M25" s="2"/>
    </row>
    <row r="26" spans="2:13" x14ac:dyDescent="0.25">
      <c r="E26" s="2"/>
      <c r="M26" s="2"/>
    </row>
    <row r="27" spans="2:13" x14ac:dyDescent="0.25">
      <c r="M27" s="2"/>
    </row>
    <row r="28" spans="2:13" x14ac:dyDescent="0.25">
      <c r="M28" s="2"/>
    </row>
    <row r="29" spans="2:13" x14ac:dyDescent="0.25">
      <c r="M29" s="2"/>
    </row>
    <row r="30" spans="2:13" x14ac:dyDescent="0.25">
      <c r="B30" s="2"/>
      <c r="C30" s="2"/>
      <c r="M30" s="2"/>
    </row>
    <row r="31" spans="2:13" x14ac:dyDescent="0.25">
      <c r="M31" s="2"/>
    </row>
    <row r="36" spans="3:13" x14ac:dyDescent="0.25">
      <c r="C36" s="2"/>
    </row>
    <row r="37" spans="3:13" x14ac:dyDescent="0.25">
      <c r="C37" s="2"/>
    </row>
    <row r="40" spans="3:13" x14ac:dyDescent="0.25">
      <c r="L40" s="2"/>
    </row>
    <row r="41" spans="3:13" x14ac:dyDescent="0.25">
      <c r="K41" s="2"/>
    </row>
    <row r="45" spans="3:13" x14ac:dyDescent="0.25">
      <c r="M4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FD17-5039-45FF-928D-69DD206DF550}">
  <dimension ref="A1:X42"/>
  <sheetViews>
    <sheetView tabSelected="1" workbookViewId="0">
      <selection activeCell="J3" sqref="J3"/>
    </sheetView>
  </sheetViews>
  <sheetFormatPr baseColWidth="10" defaultRowHeight="15" x14ac:dyDescent="0.25"/>
  <cols>
    <col min="4" max="6" width="12.28515625" bestFit="1" customWidth="1"/>
    <col min="7" max="7" width="16.85546875" customWidth="1"/>
    <col min="12" max="12" width="12.28515625" bestFit="1" customWidth="1"/>
    <col min="17" max="17" width="12.28515625" bestFit="1" customWidth="1"/>
    <col min="18" max="18" width="13.7109375" bestFit="1" customWidth="1"/>
  </cols>
  <sheetData>
    <row r="1" spans="1:24" x14ac:dyDescent="0.25">
      <c r="A1" t="s">
        <v>5</v>
      </c>
      <c r="B1" t="s">
        <v>7</v>
      </c>
      <c r="D1" t="s">
        <v>10</v>
      </c>
      <c r="L1" t="s">
        <v>5</v>
      </c>
      <c r="M1" t="s">
        <v>14</v>
      </c>
      <c r="O1" t="s">
        <v>10</v>
      </c>
    </row>
    <row r="2" spans="1:24" x14ac:dyDescent="0.25">
      <c r="A2" s="5"/>
      <c r="B2" s="5"/>
      <c r="C2" t="s">
        <v>2</v>
      </c>
      <c r="D2">
        <v>300</v>
      </c>
      <c r="E2">
        <v>695</v>
      </c>
      <c r="F2">
        <f>E2*D2</f>
        <v>208500</v>
      </c>
      <c r="G2">
        <f>F2/D2</f>
        <v>695</v>
      </c>
      <c r="L2" s="5"/>
      <c r="M2" s="5"/>
      <c r="N2" t="s">
        <v>2</v>
      </c>
      <c r="O2">
        <v>300</v>
      </c>
      <c r="P2">
        <v>695</v>
      </c>
      <c r="Q2">
        <f>P2*O2</f>
        <v>208500</v>
      </c>
    </row>
    <row r="3" spans="1:24" x14ac:dyDescent="0.25">
      <c r="A3" s="5"/>
      <c r="B3" s="5"/>
      <c r="C3" t="s">
        <v>2</v>
      </c>
      <c r="D3">
        <v>159</v>
      </c>
      <c r="E3">
        <v>700</v>
      </c>
      <c r="F3">
        <f>E3*D3</f>
        <v>111300</v>
      </c>
      <c r="G3" s="6">
        <f>SUM(F2:F3)</f>
        <v>319800</v>
      </c>
      <c r="H3" s="2">
        <f>G3/SUM(D2:D3)</f>
        <v>696.7320261437909</v>
      </c>
      <c r="I3" t="s">
        <v>6</v>
      </c>
      <c r="L3" s="5"/>
      <c r="M3" s="5"/>
      <c r="N3" t="s">
        <v>2</v>
      </c>
      <c r="O3">
        <v>159</v>
      </c>
      <c r="P3">
        <v>700</v>
      </c>
      <c r="Q3">
        <f>P3*O3</f>
        <v>111300</v>
      </c>
      <c r="R3" s="6">
        <f>SUM(Q2:Q3)</f>
        <v>319800</v>
      </c>
      <c r="S3" s="2">
        <f>R3/SUM(O2:O3)</f>
        <v>696.7320261437909</v>
      </c>
      <c r="T3" t="s">
        <v>6</v>
      </c>
    </row>
    <row r="4" spans="1:24" x14ac:dyDescent="0.25">
      <c r="B4" t="s">
        <v>8</v>
      </c>
      <c r="D4">
        <f>SUM(D2:D3)</f>
        <v>459</v>
      </c>
      <c r="O4">
        <f>SUM(O2:O3)</f>
        <v>459</v>
      </c>
    </row>
    <row r="5" spans="1:24" x14ac:dyDescent="0.25">
      <c r="C5" t="s">
        <v>9</v>
      </c>
      <c r="D5">
        <v>-50</v>
      </c>
      <c r="E5" s="2">
        <f>H3</f>
        <v>696.7320261437909</v>
      </c>
      <c r="F5" s="2">
        <f>D5*E5</f>
        <v>-34836.601307189543</v>
      </c>
      <c r="G5" s="6">
        <f>G3+F5</f>
        <v>284963.39869281044</v>
      </c>
      <c r="H5" s="2">
        <f>H3</f>
        <v>696.7320261437909</v>
      </c>
      <c r="M5" s="11" t="s">
        <v>11</v>
      </c>
      <c r="N5" s="11" t="s">
        <v>9</v>
      </c>
      <c r="O5" s="11">
        <v>-245</v>
      </c>
      <c r="P5" s="12">
        <f>S3</f>
        <v>696.7320261437909</v>
      </c>
      <c r="Q5" s="12">
        <f>P5*O5</f>
        <v>-170699.34640522877</v>
      </c>
      <c r="R5" s="6">
        <f>R3+Q5</f>
        <v>149100.65359477123</v>
      </c>
      <c r="S5" s="12">
        <f>S3</f>
        <v>696.7320261437909</v>
      </c>
      <c r="T5" s="11"/>
    </row>
    <row r="6" spans="1:24" x14ac:dyDescent="0.25">
      <c r="D6">
        <f>SUM(D4:D5)</f>
        <v>409</v>
      </c>
      <c r="M6" s="11"/>
      <c r="N6" s="11"/>
      <c r="O6" s="11">
        <f>SUM(O4:O5)</f>
        <v>214</v>
      </c>
      <c r="P6" s="11"/>
      <c r="Q6" s="11"/>
      <c r="R6" s="11"/>
      <c r="S6" s="11"/>
      <c r="T6" s="11"/>
      <c r="X6">
        <v>12</v>
      </c>
    </row>
    <row r="7" spans="1:24" x14ac:dyDescent="0.25">
      <c r="B7" t="s">
        <v>11</v>
      </c>
      <c r="C7" t="s">
        <v>9</v>
      </c>
      <c r="D7">
        <v>-210</v>
      </c>
      <c r="E7" s="2">
        <f>H5</f>
        <v>696.7320261437909</v>
      </c>
      <c r="F7" s="2">
        <f>E7*D7</f>
        <v>-146313.72549019608</v>
      </c>
      <c r="G7" s="6">
        <f>G5+F7</f>
        <v>138649.67320261436</v>
      </c>
      <c r="H7" s="2">
        <f>H5</f>
        <v>696.7320261437909</v>
      </c>
      <c r="M7" s="11" t="s">
        <v>12</v>
      </c>
      <c r="N7" s="11" t="s">
        <v>9</v>
      </c>
      <c r="O7" s="11">
        <v>-265</v>
      </c>
      <c r="P7" s="12">
        <f>S5</f>
        <v>696.7320261437909</v>
      </c>
      <c r="Q7" s="12">
        <f>P7*O7</f>
        <v>-184633.9869281046</v>
      </c>
      <c r="R7" s="6">
        <f>R5+Q7</f>
        <v>-35533.333333333372</v>
      </c>
      <c r="S7" s="12">
        <f>S5</f>
        <v>696.7320261437909</v>
      </c>
      <c r="T7" s="11"/>
      <c r="X7">
        <v>40</v>
      </c>
    </row>
    <row r="8" spans="1:24" x14ac:dyDescent="0.25">
      <c r="D8">
        <f>SUM(D6:D7)</f>
        <v>199</v>
      </c>
      <c r="M8" s="11"/>
      <c r="N8" s="11"/>
      <c r="O8" s="11">
        <f>SUM(O6:O7)</f>
        <v>-51</v>
      </c>
      <c r="P8" s="11"/>
      <c r="Q8" s="11"/>
      <c r="R8" s="11"/>
      <c r="S8" s="11"/>
      <c r="T8" s="11"/>
      <c r="X8">
        <v>45</v>
      </c>
    </row>
    <row r="9" spans="1:24" x14ac:dyDescent="0.25">
      <c r="B9" t="s">
        <v>12</v>
      </c>
      <c r="C9" t="s">
        <v>9</v>
      </c>
      <c r="D9">
        <v>-264</v>
      </c>
      <c r="E9" s="2">
        <f>H7</f>
        <v>696.7320261437909</v>
      </c>
      <c r="F9" s="2">
        <f>D9*E9</f>
        <v>-183937.25490196081</v>
      </c>
      <c r="G9" s="7">
        <f>G7+F9</f>
        <v>-45287.581699346454</v>
      </c>
      <c r="H9" s="2">
        <f>H7</f>
        <v>696.7320261437909</v>
      </c>
      <c r="M9" s="11"/>
      <c r="N9" s="11" t="s">
        <v>2</v>
      </c>
      <c r="O9" s="11">
        <v>51</v>
      </c>
      <c r="P9" s="12">
        <v>700</v>
      </c>
      <c r="Q9" s="12">
        <f>P9*O9</f>
        <v>35700</v>
      </c>
      <c r="R9" s="12">
        <f>R7+Q9</f>
        <v>166.66666666662786</v>
      </c>
      <c r="S9" s="12">
        <v>700</v>
      </c>
      <c r="T9" s="11"/>
      <c r="X9">
        <v>10</v>
      </c>
    </row>
    <row r="10" spans="1:24" x14ac:dyDescent="0.25">
      <c r="D10">
        <f>SUM(D8:D9)</f>
        <v>-65</v>
      </c>
      <c r="M10" s="11"/>
      <c r="N10" s="11"/>
      <c r="O10" s="11">
        <f>SUM(O8:O9)</f>
        <v>0</v>
      </c>
      <c r="P10" s="11"/>
      <c r="Q10" s="11"/>
      <c r="R10" s="11"/>
      <c r="S10" s="11"/>
      <c r="T10" s="11"/>
      <c r="X10">
        <v>8</v>
      </c>
    </row>
    <row r="11" spans="1:24" x14ac:dyDescent="0.25">
      <c r="C11" t="s">
        <v>2</v>
      </c>
      <c r="D11">
        <v>51</v>
      </c>
      <c r="E11">
        <v>700</v>
      </c>
      <c r="F11" s="2">
        <f>D11*E11</f>
        <v>35700</v>
      </c>
      <c r="G11" s="7">
        <f>G9+F11</f>
        <v>-9587.5816993464541</v>
      </c>
      <c r="H11" s="2">
        <f>G11/SUM(D10:D11)</f>
        <v>684.82726423903239</v>
      </c>
      <c r="M11" s="11"/>
      <c r="N11" s="11" t="s">
        <v>2</v>
      </c>
      <c r="O11" s="11">
        <v>600</v>
      </c>
      <c r="P11" s="11">
        <v>755</v>
      </c>
      <c r="Q11" s="12">
        <f>P11*O11</f>
        <v>453000</v>
      </c>
      <c r="R11" s="12">
        <f>R9+Q11</f>
        <v>453166.66666666663</v>
      </c>
      <c r="S11" s="12">
        <v>755</v>
      </c>
      <c r="T11" s="11"/>
      <c r="X11">
        <v>80</v>
      </c>
    </row>
    <row r="12" spans="1:24" x14ac:dyDescent="0.25">
      <c r="D12">
        <f>SUM(D10:D11)</f>
        <v>-14</v>
      </c>
      <c r="M12" s="11"/>
      <c r="N12" s="11" t="s">
        <v>9</v>
      </c>
      <c r="O12" s="11">
        <v>-7</v>
      </c>
      <c r="P12" s="12">
        <f>S11</f>
        <v>755</v>
      </c>
      <c r="Q12" s="12">
        <f>P12*O12</f>
        <v>-5285</v>
      </c>
      <c r="R12" s="12">
        <f>R11+Q12</f>
        <v>447881.66666666663</v>
      </c>
      <c r="S12" s="12">
        <f>S11</f>
        <v>755</v>
      </c>
      <c r="T12" s="11"/>
      <c r="X12">
        <v>25</v>
      </c>
    </row>
    <row r="13" spans="1:24" x14ac:dyDescent="0.25">
      <c r="C13" t="s">
        <v>9</v>
      </c>
      <c r="D13">
        <v>-87</v>
      </c>
      <c r="E13" s="2">
        <f>H11</f>
        <v>684.82726423903239</v>
      </c>
      <c r="F13" s="2">
        <f>E13*D13</f>
        <v>-59579.97198879582</v>
      </c>
      <c r="G13" s="7">
        <f>G11+F13</f>
        <v>-69167.553688142274</v>
      </c>
      <c r="H13" s="2">
        <f>H11</f>
        <v>684.82726423903239</v>
      </c>
      <c r="O13">
        <f>SUM(O11:O12)</f>
        <v>593</v>
      </c>
      <c r="T13" s="11"/>
      <c r="X13">
        <v>50</v>
      </c>
    </row>
    <row r="14" spans="1:24" x14ac:dyDescent="0.25">
      <c r="D14">
        <f>SUM(D12:D13)</f>
        <v>-101</v>
      </c>
      <c r="M14" s="11" t="s">
        <v>13</v>
      </c>
      <c r="N14" s="11" t="s">
        <v>9</v>
      </c>
      <c r="O14" s="11">
        <v>-95</v>
      </c>
      <c r="P14" s="12">
        <f>S12</f>
        <v>755</v>
      </c>
      <c r="Q14" s="12">
        <f>P14*O14</f>
        <v>-71725</v>
      </c>
      <c r="R14" s="12">
        <f>R12+Q14</f>
        <v>376156.66666666663</v>
      </c>
      <c r="S14" s="12">
        <f>S12</f>
        <v>755</v>
      </c>
      <c r="T14" s="11"/>
      <c r="X14">
        <f>SUM(X6:X13)</f>
        <v>270</v>
      </c>
    </row>
    <row r="15" spans="1:24" x14ac:dyDescent="0.25">
      <c r="C15" t="s">
        <v>2</v>
      </c>
      <c r="D15">
        <v>600</v>
      </c>
      <c r="E15">
        <v>755</v>
      </c>
      <c r="F15" s="2">
        <f>E15*D15</f>
        <v>453000</v>
      </c>
      <c r="G15" s="6">
        <f>G13+F15</f>
        <v>383832.44631185773</v>
      </c>
      <c r="H15" s="2">
        <f>G15/SUM(D14:D15)</f>
        <v>769.20329922215979</v>
      </c>
      <c r="M15" s="11"/>
      <c r="N15" s="11"/>
      <c r="O15" s="11">
        <f>SUM(O13:O14)</f>
        <v>498</v>
      </c>
      <c r="P15" s="12"/>
      <c r="Q15" s="12"/>
      <c r="R15" s="12"/>
      <c r="S15" s="12"/>
      <c r="T15" s="11"/>
    </row>
    <row r="16" spans="1:24" x14ac:dyDescent="0.25">
      <c r="D16">
        <f>SUM(D14:D15)</f>
        <v>499</v>
      </c>
      <c r="M16" s="11" t="s">
        <v>15</v>
      </c>
      <c r="N16" s="11" t="s">
        <v>9</v>
      </c>
      <c r="O16" s="11">
        <v>-250</v>
      </c>
      <c r="P16" s="12">
        <f>S14</f>
        <v>755</v>
      </c>
      <c r="Q16" s="12">
        <f>P16*O16</f>
        <v>-188750</v>
      </c>
      <c r="R16" s="12">
        <f>R14+Q16</f>
        <v>187406.66666666663</v>
      </c>
      <c r="S16" s="12">
        <f>S14</f>
        <v>755</v>
      </c>
      <c r="T16" s="11"/>
    </row>
    <row r="17" spans="2:22" x14ac:dyDescent="0.25">
      <c r="C17" t="s">
        <v>9</v>
      </c>
      <c r="D17">
        <v>-1</v>
      </c>
      <c r="E17" s="2">
        <f>H15</f>
        <v>769.20329922215979</v>
      </c>
      <c r="F17" s="2">
        <f>E17*D17</f>
        <v>-769.20329922215979</v>
      </c>
      <c r="G17" s="6">
        <f>G15+F17</f>
        <v>383063.24301263556</v>
      </c>
      <c r="H17" s="2">
        <f>H15</f>
        <v>769.20329922215979</v>
      </c>
      <c r="M17" s="11"/>
      <c r="N17" s="11"/>
      <c r="O17" s="11">
        <f>SUM(O15:O16)</f>
        <v>248</v>
      </c>
      <c r="P17" s="12"/>
      <c r="Q17" s="12"/>
      <c r="R17" s="12"/>
      <c r="S17" s="12"/>
      <c r="T17" s="11"/>
    </row>
    <row r="18" spans="2:22" x14ac:dyDescent="0.25">
      <c r="D18">
        <f>SUM(D16:D17)</f>
        <v>498</v>
      </c>
      <c r="M18" s="11"/>
      <c r="N18" s="11" t="s">
        <v>2</v>
      </c>
      <c r="O18" s="11">
        <v>300</v>
      </c>
      <c r="P18" s="11">
        <v>820</v>
      </c>
      <c r="Q18" s="11">
        <f>P18*O18</f>
        <v>246000</v>
      </c>
      <c r="R18" s="12">
        <f>R16+Q18</f>
        <v>433406.66666666663</v>
      </c>
      <c r="S18" s="12">
        <f>R18/SUM(O17:O18)</f>
        <v>790.88807785888071</v>
      </c>
      <c r="T18" s="11"/>
    </row>
    <row r="19" spans="2:22" x14ac:dyDescent="0.25">
      <c r="B19" t="s">
        <v>13</v>
      </c>
      <c r="C19" t="s">
        <v>9</v>
      </c>
      <c r="D19">
        <v>-470</v>
      </c>
      <c r="E19" s="2">
        <f>H17</f>
        <v>769.20329922215979</v>
      </c>
      <c r="F19" s="2">
        <f>E19*D19</f>
        <v>-361525.55063441512</v>
      </c>
      <c r="G19" s="6">
        <f>G17+F19</f>
        <v>21537.692378220439</v>
      </c>
      <c r="H19" s="2">
        <f>H17</f>
        <v>769.20329922215979</v>
      </c>
      <c r="M19" s="11"/>
      <c r="N19" s="11"/>
      <c r="O19" s="11">
        <f>SUM(O17:O18)</f>
        <v>548</v>
      </c>
      <c r="P19" s="11"/>
      <c r="Q19" s="12"/>
      <c r="R19" s="12"/>
      <c r="S19" s="12"/>
      <c r="T19" s="11"/>
      <c r="U19" s="2"/>
    </row>
    <row r="20" spans="2:22" x14ac:dyDescent="0.25">
      <c r="D20">
        <f>SUM(D18:D19)</f>
        <v>28</v>
      </c>
      <c r="M20" s="11"/>
      <c r="N20" s="11" t="s">
        <v>1</v>
      </c>
      <c r="O20" s="11">
        <v>-270</v>
      </c>
      <c r="P20" s="12">
        <f>S18</f>
        <v>790.88807785888071</v>
      </c>
      <c r="Q20" s="12">
        <f>P20*O20</f>
        <v>-213539.7810218978</v>
      </c>
      <c r="R20" s="12">
        <f>Q20+R18</f>
        <v>219866.88564476883</v>
      </c>
      <c r="S20" s="11"/>
      <c r="T20" s="11"/>
    </row>
    <row r="21" spans="2:22" x14ac:dyDescent="0.25">
      <c r="C21" t="s">
        <v>2</v>
      </c>
      <c r="D21">
        <v>300</v>
      </c>
      <c r="E21">
        <v>820</v>
      </c>
      <c r="F21" s="2">
        <f>E21*D21</f>
        <v>246000</v>
      </c>
      <c r="G21" s="6">
        <f>G19+F21</f>
        <v>267537.69237822044</v>
      </c>
      <c r="H21" s="2">
        <f>G21/SUM(D20:D21)</f>
        <v>815.66369627506231</v>
      </c>
      <c r="M21" s="11"/>
      <c r="N21" s="11"/>
      <c r="O21" s="13">
        <f>SUM(O19:O20)</f>
        <v>278</v>
      </c>
      <c r="P21" s="12"/>
      <c r="Q21" s="12"/>
      <c r="R21" s="12"/>
      <c r="S21" s="12"/>
      <c r="T21" s="11"/>
    </row>
    <row r="22" spans="2:22" x14ac:dyDescent="0.25">
      <c r="D22">
        <f>SUM(D20:D21)</f>
        <v>328</v>
      </c>
      <c r="G22" s="2"/>
      <c r="M22" s="11"/>
      <c r="N22" s="11"/>
      <c r="O22" s="11"/>
      <c r="P22" s="11"/>
      <c r="Q22" s="11"/>
      <c r="R22" s="11"/>
      <c r="S22" s="11"/>
      <c r="T22" s="11"/>
    </row>
    <row r="23" spans="2:22" x14ac:dyDescent="0.25">
      <c r="C23" t="s">
        <v>9</v>
      </c>
      <c r="D23">
        <v>-50</v>
      </c>
      <c r="E23" s="2">
        <f>H21</f>
        <v>815.66369627506231</v>
      </c>
      <c r="F23" s="2">
        <f>E23*D23</f>
        <v>-40783.184813753112</v>
      </c>
      <c r="G23" s="2">
        <f>G21+F23</f>
        <v>226754.50756446732</v>
      </c>
      <c r="H23" s="2">
        <f>H21</f>
        <v>815.66369627506231</v>
      </c>
      <c r="L23" s="2"/>
      <c r="R23" s="2"/>
    </row>
    <row r="24" spans="2:22" x14ac:dyDescent="0.25">
      <c r="D24">
        <f>SUM(D22:D23)</f>
        <v>278</v>
      </c>
      <c r="L24" s="2"/>
      <c r="P24" t="s">
        <v>16</v>
      </c>
      <c r="U24">
        <v>747.87</v>
      </c>
      <c r="V24">
        <f>U24*O21</f>
        <v>207907.86000000002</v>
      </c>
    </row>
    <row r="26" spans="2:22" x14ac:dyDescent="0.25">
      <c r="D26" s="2"/>
    </row>
    <row r="36" spans="1:8" x14ac:dyDescent="0.25">
      <c r="A36" s="5">
        <v>46101</v>
      </c>
      <c r="B36" s="5"/>
      <c r="C36" t="s">
        <v>2</v>
      </c>
      <c r="D36">
        <v>51</v>
      </c>
      <c r="E36">
        <v>700</v>
      </c>
      <c r="F36">
        <f>D36*E36</f>
        <v>35700</v>
      </c>
    </row>
    <row r="37" spans="1:8" x14ac:dyDescent="0.25">
      <c r="A37" s="5">
        <v>46109</v>
      </c>
      <c r="B37" s="5"/>
      <c r="C37" t="s">
        <v>2</v>
      </c>
      <c r="D37">
        <v>600</v>
      </c>
      <c r="E37">
        <v>755</v>
      </c>
      <c r="F37">
        <f>D37*E37</f>
        <v>453000</v>
      </c>
      <c r="G37" s="2">
        <f>SUM(F36:F37)</f>
        <v>488700</v>
      </c>
    </row>
    <row r="39" spans="1:8" x14ac:dyDescent="0.25">
      <c r="F39" t="s">
        <v>3</v>
      </c>
      <c r="H39" s="2">
        <f>SUM(G3:G37)/SUM(D2:D37)</f>
        <v>693.58744892776065</v>
      </c>
    </row>
    <row r="41" spans="1:8" x14ac:dyDescent="0.25">
      <c r="A41" s="5">
        <v>46147</v>
      </c>
      <c r="B41" s="5"/>
      <c r="C41" t="s">
        <v>2</v>
      </c>
      <c r="D41">
        <v>300</v>
      </c>
      <c r="E41">
        <v>820</v>
      </c>
      <c r="G41" s="2">
        <f>D41*E41</f>
        <v>246000</v>
      </c>
    </row>
    <row r="42" spans="1:8" x14ac:dyDescent="0.25">
      <c r="F42" t="s">
        <v>4</v>
      </c>
      <c r="H42" s="2">
        <f>SUM(G3:G41)/SUM(D2:D41)</f>
        <v>703.70854989431302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FB29-24F1-4173-B09C-E8CCDD7DDB51}">
  <dimension ref="A1:I30"/>
  <sheetViews>
    <sheetView workbookViewId="0">
      <selection activeCell="I11" sqref="I11"/>
    </sheetView>
  </sheetViews>
  <sheetFormatPr baseColWidth="10" defaultRowHeight="15" x14ac:dyDescent="0.25"/>
  <cols>
    <col min="1" max="1" width="10.5703125" bestFit="1" customWidth="1"/>
    <col min="2" max="2" width="9.5703125" bestFit="1" customWidth="1"/>
    <col min="3" max="3" width="2" bestFit="1" customWidth="1"/>
    <col min="4" max="5" width="4" bestFit="1" customWidth="1"/>
    <col min="7" max="7" width="7.85546875" customWidth="1"/>
  </cols>
  <sheetData>
    <row r="1" spans="1:9" x14ac:dyDescent="0.25">
      <c r="A1" s="5">
        <v>46022</v>
      </c>
      <c r="B1" s="5">
        <v>46042</v>
      </c>
      <c r="C1" t="s">
        <v>2</v>
      </c>
      <c r="D1">
        <v>300</v>
      </c>
      <c r="E1">
        <v>695</v>
      </c>
      <c r="G1" s="9">
        <v>45992</v>
      </c>
      <c r="H1" s="10"/>
      <c r="I1" s="10"/>
    </row>
    <row r="2" spans="1:9" x14ac:dyDescent="0.25">
      <c r="A2" s="5">
        <v>46022</v>
      </c>
      <c r="B2" s="5">
        <v>46042</v>
      </c>
      <c r="C2" t="s">
        <v>2</v>
      </c>
      <c r="D2">
        <v>159</v>
      </c>
      <c r="E2">
        <v>700</v>
      </c>
      <c r="G2" s="8"/>
      <c r="H2" s="8" t="s">
        <v>0</v>
      </c>
      <c r="I2" s="8" t="s">
        <v>1</v>
      </c>
    </row>
    <row r="3" spans="1:9" x14ac:dyDescent="0.25">
      <c r="A3" s="5">
        <v>46031</v>
      </c>
      <c r="B3" s="5">
        <v>46056</v>
      </c>
      <c r="C3" t="s">
        <v>9</v>
      </c>
      <c r="D3">
        <v>18</v>
      </c>
      <c r="E3">
        <v>695</v>
      </c>
      <c r="G3" s="8"/>
      <c r="H3" s="8">
        <f>SUM(D1:D2)</f>
        <v>459</v>
      </c>
      <c r="I3" s="8">
        <v>0</v>
      </c>
    </row>
    <row r="4" spans="1:9" x14ac:dyDescent="0.25">
      <c r="A4" s="5">
        <v>46044</v>
      </c>
      <c r="B4" s="5">
        <v>46056</v>
      </c>
      <c r="C4" t="s">
        <v>9</v>
      </c>
      <c r="D4">
        <v>32</v>
      </c>
      <c r="E4">
        <v>695</v>
      </c>
      <c r="G4" s="9">
        <v>46023</v>
      </c>
      <c r="H4" s="10"/>
      <c r="I4" s="10"/>
    </row>
    <row r="5" spans="1:9" x14ac:dyDescent="0.25">
      <c r="A5" s="5">
        <v>46058</v>
      </c>
      <c r="B5" s="5">
        <v>46064</v>
      </c>
      <c r="C5" t="s">
        <v>9</v>
      </c>
      <c r="D5">
        <v>40</v>
      </c>
      <c r="E5">
        <v>695</v>
      </c>
      <c r="G5" s="8"/>
      <c r="H5" s="8"/>
      <c r="I5" s="8">
        <f>SUM(D3:D4)*-1</f>
        <v>-50</v>
      </c>
    </row>
    <row r="6" spans="1:9" x14ac:dyDescent="0.25">
      <c r="A6" s="5">
        <v>46063</v>
      </c>
      <c r="B6" s="5">
        <v>46064</v>
      </c>
      <c r="C6" t="s">
        <v>9</v>
      </c>
      <c r="D6">
        <v>25</v>
      </c>
      <c r="E6">
        <v>695</v>
      </c>
      <c r="G6" s="9">
        <v>46054</v>
      </c>
      <c r="H6" s="10"/>
      <c r="I6" s="10"/>
    </row>
    <row r="7" spans="1:9" x14ac:dyDescent="0.25">
      <c r="A7" s="5">
        <v>46065</v>
      </c>
      <c r="B7" s="5">
        <v>46073</v>
      </c>
      <c r="C7" t="s">
        <v>9</v>
      </c>
      <c r="D7">
        <v>30</v>
      </c>
      <c r="E7">
        <v>695</v>
      </c>
      <c r="G7" s="8"/>
      <c r="H7" s="8"/>
      <c r="I7" s="8">
        <f>SUM(D5:D9)*-1</f>
        <v>-210</v>
      </c>
    </row>
    <row r="8" spans="1:9" x14ac:dyDescent="0.25">
      <c r="A8" s="5">
        <v>46069</v>
      </c>
      <c r="B8" s="5">
        <v>46073</v>
      </c>
      <c r="C8" t="s">
        <v>9</v>
      </c>
      <c r="D8">
        <v>100</v>
      </c>
      <c r="E8">
        <v>695</v>
      </c>
      <c r="G8" s="9">
        <v>46082</v>
      </c>
      <c r="H8" s="10"/>
      <c r="I8" s="10"/>
    </row>
    <row r="9" spans="1:9" x14ac:dyDescent="0.25">
      <c r="A9" s="5">
        <v>46081</v>
      </c>
      <c r="B9" s="5">
        <v>46090</v>
      </c>
      <c r="C9" t="s">
        <v>9</v>
      </c>
      <c r="D9">
        <v>15</v>
      </c>
      <c r="E9">
        <v>695</v>
      </c>
      <c r="G9" s="8"/>
      <c r="H9" s="8"/>
      <c r="I9" s="8">
        <f>SUM(D10:D16)*-1</f>
        <v>-264</v>
      </c>
    </row>
    <row r="10" spans="1:9" x14ac:dyDescent="0.25">
      <c r="A10" s="5">
        <v>46084</v>
      </c>
      <c r="B10" s="5">
        <v>46090</v>
      </c>
      <c r="C10" t="s">
        <v>9</v>
      </c>
      <c r="D10">
        <v>20</v>
      </c>
      <c r="E10">
        <v>695</v>
      </c>
      <c r="G10" s="8"/>
      <c r="H10" s="8">
        <f>SUM(D17)</f>
        <v>51</v>
      </c>
      <c r="I10" s="8"/>
    </row>
    <row r="11" spans="1:9" x14ac:dyDescent="0.25">
      <c r="A11" s="5">
        <v>46091</v>
      </c>
      <c r="B11" s="5">
        <v>46099</v>
      </c>
      <c r="C11" t="s">
        <v>9</v>
      </c>
      <c r="D11">
        <v>5</v>
      </c>
      <c r="E11">
        <v>695</v>
      </c>
      <c r="G11" s="8"/>
      <c r="H11" s="8"/>
      <c r="I11" s="8">
        <f>SUM(D18)*-1</f>
        <v>-87</v>
      </c>
    </row>
    <row r="12" spans="1:9" x14ac:dyDescent="0.25">
      <c r="A12" s="5">
        <v>46093</v>
      </c>
      <c r="B12" s="5">
        <v>46100</v>
      </c>
      <c r="C12" t="s">
        <v>9</v>
      </c>
      <c r="D12">
        <v>150</v>
      </c>
      <c r="E12">
        <v>695</v>
      </c>
      <c r="G12" s="8"/>
      <c r="H12" s="8">
        <f>SUM(D19)</f>
        <v>600</v>
      </c>
      <c r="I12" s="8"/>
    </row>
    <row r="13" spans="1:9" x14ac:dyDescent="0.25">
      <c r="A13" s="5">
        <v>46093</v>
      </c>
      <c r="B13" s="5">
        <v>46101</v>
      </c>
      <c r="C13" t="s">
        <v>9</v>
      </c>
      <c r="D13">
        <v>35</v>
      </c>
      <c r="E13">
        <v>700</v>
      </c>
      <c r="G13" s="8"/>
      <c r="H13" s="8"/>
      <c r="I13" s="8">
        <f>SUM(D20)*-1</f>
        <v>-1</v>
      </c>
    </row>
    <row r="14" spans="1:9" x14ac:dyDescent="0.25">
      <c r="A14" s="5">
        <v>46093</v>
      </c>
      <c r="B14" s="5">
        <v>46101</v>
      </c>
      <c r="C14" t="s">
        <v>9</v>
      </c>
      <c r="D14">
        <v>40</v>
      </c>
      <c r="E14">
        <v>700</v>
      </c>
      <c r="G14" s="9">
        <v>46113</v>
      </c>
      <c r="H14" s="10"/>
      <c r="I14" s="10"/>
    </row>
    <row r="15" spans="1:9" x14ac:dyDescent="0.25">
      <c r="A15" s="5">
        <v>46094</v>
      </c>
      <c r="B15" s="5">
        <v>46112</v>
      </c>
      <c r="C15" t="s">
        <v>9</v>
      </c>
      <c r="D15">
        <v>7</v>
      </c>
      <c r="E15">
        <v>755</v>
      </c>
      <c r="G15" s="8"/>
      <c r="H15" s="8"/>
      <c r="I15" s="8">
        <f>SUM(D21:D28)*-1</f>
        <v>-470</v>
      </c>
    </row>
    <row r="16" spans="1:9" x14ac:dyDescent="0.25">
      <c r="A16" s="5">
        <v>46101</v>
      </c>
      <c r="B16" s="5">
        <v>46115</v>
      </c>
      <c r="C16" t="s">
        <v>9</v>
      </c>
      <c r="D16">
        <v>7</v>
      </c>
      <c r="E16">
        <v>755</v>
      </c>
      <c r="G16" s="9">
        <v>46143</v>
      </c>
      <c r="H16" s="10"/>
      <c r="I16" s="10"/>
    </row>
    <row r="17" spans="1:9" x14ac:dyDescent="0.25">
      <c r="A17" s="5">
        <v>46101</v>
      </c>
      <c r="B17" s="5">
        <v>46101</v>
      </c>
      <c r="C17" t="s">
        <v>2</v>
      </c>
      <c r="D17">
        <v>51</v>
      </c>
      <c r="E17">
        <v>700</v>
      </c>
      <c r="G17" s="8"/>
      <c r="H17" s="8">
        <f>SUM(D29)</f>
        <v>300</v>
      </c>
      <c r="I17" s="8"/>
    </row>
    <row r="18" spans="1:9" x14ac:dyDescent="0.25">
      <c r="A18" s="5">
        <v>46107</v>
      </c>
      <c r="B18" s="5">
        <v>46115</v>
      </c>
      <c r="C18" t="s">
        <v>9</v>
      </c>
      <c r="D18">
        <v>87</v>
      </c>
      <c r="E18">
        <v>755</v>
      </c>
      <c r="G18" s="8"/>
      <c r="H18" s="8"/>
      <c r="I18" s="8">
        <f>SUM(D30)*-1</f>
        <v>-50</v>
      </c>
    </row>
    <row r="19" spans="1:9" x14ac:dyDescent="0.25">
      <c r="A19" s="5">
        <v>46109</v>
      </c>
      <c r="B19" s="5">
        <v>46109</v>
      </c>
      <c r="C19" t="s">
        <v>2</v>
      </c>
      <c r="D19">
        <v>600</v>
      </c>
      <c r="E19">
        <v>755</v>
      </c>
      <c r="G19" s="8"/>
      <c r="H19" s="8"/>
      <c r="I19" s="8"/>
    </row>
    <row r="20" spans="1:9" x14ac:dyDescent="0.25">
      <c r="A20" s="5">
        <v>46112</v>
      </c>
      <c r="B20" s="5">
        <v>46128</v>
      </c>
      <c r="C20" t="s">
        <v>9</v>
      </c>
      <c r="D20">
        <v>1</v>
      </c>
      <c r="E20">
        <v>755</v>
      </c>
      <c r="G20" s="8"/>
      <c r="H20" s="8">
        <f>SUM(H3:H19)</f>
        <v>1410</v>
      </c>
      <c r="I20" s="8">
        <f>SUM(I1:I18)</f>
        <v>-1132</v>
      </c>
    </row>
    <row r="21" spans="1:9" x14ac:dyDescent="0.25">
      <c r="A21" s="5">
        <v>46120</v>
      </c>
      <c r="B21" s="5">
        <v>46147</v>
      </c>
      <c r="C21" t="s">
        <v>9</v>
      </c>
      <c r="D21">
        <v>12</v>
      </c>
      <c r="E21">
        <v>755</v>
      </c>
    </row>
    <row r="22" spans="1:9" x14ac:dyDescent="0.25">
      <c r="A22" s="5">
        <v>46120</v>
      </c>
      <c r="B22" s="5">
        <v>46147</v>
      </c>
      <c r="C22" t="s">
        <v>9</v>
      </c>
      <c r="D22">
        <v>40</v>
      </c>
      <c r="E22">
        <v>755</v>
      </c>
    </row>
    <row r="23" spans="1:9" x14ac:dyDescent="0.25">
      <c r="A23" s="5">
        <v>46121</v>
      </c>
      <c r="B23" s="5">
        <v>46147</v>
      </c>
      <c r="C23" t="s">
        <v>9</v>
      </c>
      <c r="D23">
        <v>250</v>
      </c>
      <c r="E23">
        <v>755</v>
      </c>
    </row>
    <row r="24" spans="1:9" x14ac:dyDescent="0.25">
      <c r="A24" s="5">
        <v>46122</v>
      </c>
      <c r="B24" s="5">
        <v>46147</v>
      </c>
      <c r="C24" t="s">
        <v>9</v>
      </c>
      <c r="D24">
        <v>45</v>
      </c>
      <c r="E24">
        <v>820</v>
      </c>
    </row>
    <row r="25" spans="1:9" x14ac:dyDescent="0.25">
      <c r="A25" s="5">
        <v>46133</v>
      </c>
      <c r="B25" s="5">
        <v>46148</v>
      </c>
      <c r="C25" t="s">
        <v>9</v>
      </c>
      <c r="D25">
        <v>8</v>
      </c>
      <c r="E25">
        <v>820</v>
      </c>
    </row>
    <row r="26" spans="1:9" x14ac:dyDescent="0.25">
      <c r="A26" s="5">
        <v>46133</v>
      </c>
      <c r="B26" s="5">
        <v>46148</v>
      </c>
      <c r="C26" t="s">
        <v>9</v>
      </c>
      <c r="D26">
        <v>80</v>
      </c>
      <c r="E26">
        <v>820</v>
      </c>
    </row>
    <row r="27" spans="1:9" x14ac:dyDescent="0.25">
      <c r="A27" s="5">
        <v>46135</v>
      </c>
      <c r="B27" s="5">
        <v>46148</v>
      </c>
      <c r="C27" t="s">
        <v>9</v>
      </c>
      <c r="D27">
        <v>25</v>
      </c>
      <c r="E27">
        <v>820</v>
      </c>
    </row>
    <row r="28" spans="1:9" x14ac:dyDescent="0.25">
      <c r="A28" s="5">
        <v>46136</v>
      </c>
      <c r="B28" s="5">
        <v>46148</v>
      </c>
      <c r="C28" t="s">
        <v>9</v>
      </c>
      <c r="D28">
        <v>10</v>
      </c>
      <c r="E28">
        <v>820</v>
      </c>
    </row>
    <row r="29" spans="1:9" x14ac:dyDescent="0.25">
      <c r="A29" s="5">
        <v>46147</v>
      </c>
      <c r="B29" s="5">
        <v>46147</v>
      </c>
      <c r="C29" t="s">
        <v>2</v>
      </c>
      <c r="D29">
        <v>300</v>
      </c>
      <c r="E29">
        <v>820</v>
      </c>
    </row>
    <row r="30" spans="1:9" x14ac:dyDescent="0.25">
      <c r="A30" s="5">
        <v>46155</v>
      </c>
      <c r="B30" s="5">
        <v>46155</v>
      </c>
      <c r="C30" t="s">
        <v>9</v>
      </c>
      <c r="D30">
        <v>50</v>
      </c>
      <c r="E30">
        <v>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MINI KARDEX POR MEX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Flores</dc:creator>
  <cp:lastModifiedBy>Johann Flores</cp:lastModifiedBy>
  <dcterms:created xsi:type="dcterms:W3CDTF">2026-05-19T17:15:31Z</dcterms:created>
  <dcterms:modified xsi:type="dcterms:W3CDTF">2026-05-21T00:01:44Z</dcterms:modified>
</cp:coreProperties>
</file>