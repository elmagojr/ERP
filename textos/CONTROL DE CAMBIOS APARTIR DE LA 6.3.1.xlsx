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HOME OFFICE\ERP- COMEGCEN - SEMUBI - FLOR\ERP - SISC\ERP\textos\"/>
    </mc:Choice>
  </mc:AlternateContent>
  <xr:revisionPtr revIDLastSave="0" documentId="13_ncr:1_{3667AA27-26BC-4CB2-A8D9-44CC3C95704C}" xr6:coauthVersionLast="47" xr6:coauthVersionMax="47" xr10:uidLastSave="{00000000-0000-0000-0000-000000000000}"/>
  <bookViews>
    <workbookView xWindow="-23148" yWindow="-108" windowWidth="23256" windowHeight="12456" activeTab="1" xr2:uid="{00000000-000D-0000-FFFF-FFFF00000000}"/>
  </bookViews>
  <sheets>
    <sheet name="CASOS ERP" sheetId="4" r:id="rId1"/>
    <sheet name="CAMBIOS" sheetId="1" r:id="rId2"/>
    <sheet name="Hoja2" sheetId="2" r:id="rId3"/>
    <sheet name="Hoja3" sheetId="3" r:id="rId4"/>
    <sheet name="Hoja4" sheetId="5" r:id="rId5"/>
  </sheets>
  <definedNames>
    <definedName name="_xlnm._FilterDatabase" localSheetId="4" hidden="1">Hoja4!$A$1:$H$413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49" i="1" l="1"/>
  <c r="L48" i="1"/>
  <c r="F427" i="5" l="1"/>
  <c r="H427" i="5"/>
  <c r="H424" i="5"/>
  <c r="C18" i="5"/>
  <c r="C12" i="5"/>
  <c r="C2" i="5"/>
  <c r="C3" i="5"/>
  <c r="C4" i="5"/>
  <c r="C5" i="5"/>
  <c r="C6" i="5"/>
  <c r="C7" i="5"/>
  <c r="C8" i="5"/>
  <c r="C9" i="5"/>
  <c r="C10" i="5"/>
  <c r="C11" i="5"/>
  <c r="C1" i="5"/>
  <c r="A12" i="5"/>
  <c r="A18" i="5"/>
  <c r="C14" i="5"/>
  <c r="C15" i="5"/>
  <c r="C16" i="5"/>
  <c r="C17" i="5"/>
  <c r="C13" i="5"/>
  <c r="H425" i="5"/>
  <c r="H423" i="5"/>
  <c r="H422" i="5"/>
  <c r="N48" i="2"/>
  <c r="L15" i="2"/>
  <c r="F147" i="3"/>
  <c r="G147" i="3" s="1"/>
  <c r="G148" i="3" s="1"/>
  <c r="F146" i="3"/>
  <c r="D154" i="3"/>
  <c r="I429" i="5" l="1"/>
  <c r="F148" i="3"/>
  <c r="J162" i="3"/>
  <c r="H161" i="3"/>
  <c r="J3" i="3"/>
  <c r="J4" i="3"/>
  <c r="J51" i="3" s="1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2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1" i="3"/>
  <c r="D69" i="3" s="1"/>
  <c r="I64" i="3" s="1"/>
  <c r="D11" i="2"/>
  <c r="D9" i="2"/>
  <c r="D7" i="2"/>
  <c r="B9" i="2"/>
  <c r="H5" i="2"/>
  <c r="G5" i="2"/>
  <c r="F5" i="2"/>
  <c r="B5" i="2"/>
  <c r="C5" i="2"/>
  <c r="D5" i="2"/>
  <c r="H4" i="2"/>
  <c r="H3" i="2"/>
  <c r="H2" i="2"/>
  <c r="D1" i="2"/>
  <c r="D3" i="2"/>
  <c r="D4" i="2"/>
  <c r="D2" i="2"/>
</calcChain>
</file>

<file path=xl/sharedStrings.xml><?xml version="1.0" encoding="utf-8"?>
<sst xmlns="http://schemas.openxmlformats.org/spreadsheetml/2006/main" count="242" uniqueCount="195">
  <si>
    <t xml:space="preserve">CONTRO DE CAMBIOS DE ERP SISC </t>
  </si>
  <si>
    <t>VERSION</t>
  </si>
  <si>
    <t>CAMBIOS</t>
  </si>
  <si>
    <t>OBJETO</t>
  </si>
  <si>
    <t>LINEA</t>
  </si>
  <si>
    <t>6.3.2</t>
  </si>
  <si>
    <t>W_BOD_DETALLE_S</t>
  </si>
  <si>
    <t>w_Orden_Compra_det</t>
  </si>
  <si>
    <t>traer a ´pantalla el % de  utlidad del tipo de articulo</t>
  </si>
  <si>
    <t>edicion lista tipo articulos</t>
  </si>
  <si>
    <t>carga de lista tipos de articulos</t>
  </si>
  <si>
    <t>M_repor_iven</t>
  </si>
  <si>
    <t>Reportes de impuestos  ventas  compras</t>
  </si>
  <si>
    <t>new!</t>
  </si>
  <si>
    <t>W_Fecha_impuestos</t>
  </si>
  <si>
    <t>R_libro_ventas_isv</t>
  </si>
  <si>
    <t>reporte para ventas con impuestos</t>
  </si>
  <si>
    <t>filtro de fechas y selecciob de impuestos</t>
  </si>
  <si>
    <t>R_libro_compras_isv</t>
  </si>
  <si>
    <t>reporte para compras con impuestos</t>
  </si>
  <si>
    <t>w_bod_deatalle_s</t>
  </si>
  <si>
    <t xml:space="preserve">quiza asinganr los importes </t>
  </si>
  <si>
    <t>R_Comprob_Entrega_ESMUGRUPAL</t>
  </si>
  <si>
    <t>asignacion de valores según impuestos</t>
  </si>
  <si>
    <t>calculo impuestos</t>
  </si>
  <si>
    <t>se traslado la ventan ade paramtros por empresa</t>
  </si>
  <si>
    <t>w_parametros_x_empresa</t>
  </si>
  <si>
    <t>para editar e ingresar paramtros x empresa</t>
  </si>
  <si>
    <t>W_Ingr_Par_X_Empresa</t>
  </si>
  <si>
    <t xml:space="preserve">file </t>
  </si>
  <si>
    <t xml:space="preserve">file IMPUESTOS </t>
  </si>
  <si>
    <t>un fiele para guaradar la matrios de impuestos</t>
  </si>
  <si>
    <t>STARTUP</t>
  </si>
  <si>
    <t>FUNISON QUE VALIDA PARAMTROS ISV</t>
  </si>
  <si>
    <t>OBSERVACION</t>
  </si>
  <si>
    <t>se debe tomar en cuenta que si cambia el tipo de producto la factura se calcualra en base a ese tipo en la factura</t>
  </si>
  <si>
    <t>se modifico el trigger  trg_PagosF_Aju_Sald</t>
  </si>
  <si>
    <t>trigger</t>
  </si>
  <si>
    <t>se debe actualiza el trigger para que no tome en cuenta el saldo en vales</t>
  </si>
  <si>
    <t>r_comprob_entrega_comgecen</t>
  </si>
  <si>
    <t>mejora al caluclo de rebajas</t>
  </si>
  <si>
    <t>sub total</t>
  </si>
  <si>
    <t>F_Variables.MONTO2</t>
  </si>
  <si>
    <t>descuento</t>
  </si>
  <si>
    <t>F_Variables.MONTO3</t>
  </si>
  <si>
    <t>F_Variables.MONTO4</t>
  </si>
  <si>
    <t>impuesto</t>
  </si>
  <si>
    <t>F_Variables.MONTO5</t>
  </si>
  <si>
    <t>total</t>
  </si>
  <si>
    <t>la cuenta contable de la aprtida asignada al 15% alamacenara tambien el de 18% ojo</t>
  </si>
  <si>
    <t>6.4.2</t>
  </si>
  <si>
    <t>mejora orden de compra listado s de tipos para traer el impuesto</t>
  </si>
  <si>
    <t>para buscar el tipo de producto y traer su impuesto</t>
  </si>
  <si>
    <t>agregado formatos de recibos</t>
  </si>
  <si>
    <t>w_cai</t>
  </si>
  <si>
    <t>reporte existencias por fecha</t>
  </si>
  <si>
    <t>6,70</t>
  </si>
  <si>
    <t>periodo</t>
  </si>
  <si>
    <t>aCUM</t>
  </si>
  <si>
    <t>a fecha</t>
  </si>
  <si>
    <t>W_ORDEN_COMPRA</t>
  </si>
  <si>
    <t>Correcion partida reversion ordend de compra</t>
  </si>
  <si>
    <t>se dejo la partida de reversion dentro de la misma partida</t>
  </si>
  <si>
    <t>M_subpro_cxp</t>
  </si>
  <si>
    <t>proceso de mantenimiento de registros cxp,ordenenes de compra</t>
  </si>
  <si>
    <t>m_ctas_pag</t>
  </si>
  <si>
    <t>agregado subproceso cxp</t>
  </si>
  <si>
    <t>W_CXP_NO_COMPLETAS</t>
  </si>
  <si>
    <t>MUESTRA LAS CXP QUE NO TIENEN DETALLE DE PARTIDA</t>
  </si>
  <si>
    <t>BDS_COD_PROD</t>
  </si>
  <si>
    <t>sum(F_Bod_Det_S.BDS_CANT)</t>
  </si>
  <si>
    <t>BDS_COSTO</t>
  </si>
  <si>
    <t>'310000085'</t>
  </si>
  <si>
    <t>'310000082'</t>
  </si>
  <si>
    <t>'310000081'</t>
  </si>
  <si>
    <t>'310000080'</t>
  </si>
  <si>
    <t>'310000079'</t>
  </si>
  <si>
    <t>'310000078'</t>
  </si>
  <si>
    <t>'310000077'</t>
  </si>
  <si>
    <t>'310000076'</t>
  </si>
  <si>
    <t>'310000075'</t>
  </si>
  <si>
    <t>'310000071'</t>
  </si>
  <si>
    <t>'310000069'</t>
  </si>
  <si>
    <t>'310000066'</t>
  </si>
  <si>
    <t>'310000065'</t>
  </si>
  <si>
    <t>'310000059'</t>
  </si>
  <si>
    <t>'310000058'</t>
  </si>
  <si>
    <t>'310000056'</t>
  </si>
  <si>
    <t>'310000055'</t>
  </si>
  <si>
    <t>'310000054'</t>
  </si>
  <si>
    <t>'310000053'</t>
  </si>
  <si>
    <t>'310000051'</t>
  </si>
  <si>
    <t>'310000050'</t>
  </si>
  <si>
    <t>'310000045'</t>
  </si>
  <si>
    <t>'310000042'</t>
  </si>
  <si>
    <t>'310000038'</t>
  </si>
  <si>
    <t>'310000036'</t>
  </si>
  <si>
    <t>'310000035'</t>
  </si>
  <si>
    <t>'310000033'</t>
  </si>
  <si>
    <t>'310000026'</t>
  </si>
  <si>
    <t>'310000024'</t>
  </si>
  <si>
    <t>'310000020'</t>
  </si>
  <si>
    <t>'310000018'</t>
  </si>
  <si>
    <t>'310000017'</t>
  </si>
  <si>
    <t>'310000016'</t>
  </si>
  <si>
    <t>'310000014'</t>
  </si>
  <si>
    <t>'310000013'</t>
  </si>
  <si>
    <t>'310000012'</t>
  </si>
  <si>
    <t>'310000011'</t>
  </si>
  <si>
    <t>'310000010'</t>
  </si>
  <si>
    <t>'310000009'</t>
  </si>
  <si>
    <t>'310000006'</t>
  </si>
  <si>
    <t>'310000005'</t>
  </si>
  <si>
    <t>'310000004'</t>
  </si>
  <si>
    <t>'310000003'</t>
  </si>
  <si>
    <t>'310000002'</t>
  </si>
  <si>
    <t>'310000001'</t>
  </si>
  <si>
    <t>REDMIEN #14364</t>
  </si>
  <si>
    <t>ARREGLO REPORTE LIBRO DE VENTAS Y COMPRAS, TOTALES no cuadraban</t>
  </si>
  <si>
    <t>codigo</t>
  </si>
  <si>
    <t>FECHA</t>
  </si>
  <si>
    <t>TIPO</t>
  </si>
  <si>
    <t>bde_CANT</t>
  </si>
  <si>
    <t>costo</t>
  </si>
  <si>
    <t>'2025-12-31'</t>
  </si>
  <si>
    <t>'E'</t>
  </si>
  <si>
    <t>'2026-01-09'</t>
  </si>
  <si>
    <t>'S'</t>
  </si>
  <si>
    <t>'2026-01-22'</t>
  </si>
  <si>
    <t>'2026-02-05'</t>
  </si>
  <si>
    <t>'2026-02-10'</t>
  </si>
  <si>
    <t>'2026-02-12'</t>
  </si>
  <si>
    <t>'2026-02-16'</t>
  </si>
  <si>
    <t xml:space="preserve">FILTROS PARA REPORTE fecha dos </t>
  </si>
  <si>
    <t>R_entradas</t>
  </si>
  <si>
    <t>se cambio filtro de fechas</t>
  </si>
  <si>
    <t>encabezado</t>
  </si>
  <si>
    <t>R_Existencia_Fecha2</t>
  </si>
  <si>
    <t>nuevo reporte de existencias por fehca</t>
  </si>
  <si>
    <t>W_Select_Rep_I</t>
  </si>
  <si>
    <t>mejoras al kardex por producto</t>
  </si>
  <si>
    <t>FILTROS Y DATA AUTOMATICA</t>
  </si>
  <si>
    <t>AGREGADO CAMPO CXV_CLI_COD</t>
  </si>
  <si>
    <t>FILES COBROS_X_VALES</t>
  </si>
  <si>
    <t>para traer saldo de vales corretos</t>
  </si>
  <si>
    <t>w_cobro_vales</t>
  </si>
  <si>
    <t>modificaciuon meotodos crud de vales enb salidas</t>
  </si>
  <si>
    <t>se creo script para acttulizacar el nuevo campo</t>
  </si>
  <si>
    <t>w_bod_detall_s</t>
  </si>
  <si>
    <t xml:space="preserve">se adapto el </t>
  </si>
  <si>
    <t xml:space="preserve">Rutina - 15 septiembre </t>
  </si>
  <si>
    <t>completo</t>
  </si>
  <si>
    <t>Fallo en generacion de reporte final</t>
  </si>
  <si>
    <t>14035 - Reincidencia decimales en reportes</t>
  </si>
  <si>
    <t xml:space="preserve">completo </t>
  </si>
  <si>
    <t>se agregaron campos a las tablas de cxv, identificacion de cliente</t>
  </si>
  <si>
    <t>13196 - Descuadre en reporte Vrs. Saldos Cuentas por Cobrar</t>
  </si>
  <si>
    <t>en desarrollo</t>
  </si>
  <si>
    <t>creacion de rutina e identificacion de facturas con vales sin pagos</t>
  </si>
  <si>
    <t>12631 - Ajustes de inventario</t>
  </si>
  <si>
    <t>en desarrollo / por validar</t>
  </si>
  <si>
    <t xml:space="preserve">se ajsuto el reporte a costo promedio, aun no cuadra la cuenta designada con las existencias a la fecha (por sitemas heredado de version inicial de erp) o por ajustes manuales </t>
  </si>
  <si>
    <t>14670 - ERROR EN REPORTES ERP CASO RAFAGA LITRO</t>
  </si>
  <si>
    <t>---</t>
  </si>
  <si>
    <t>mismo que el caso 14494</t>
  </si>
  <si>
    <t>14494 - KARDEX POR PRODUCTO</t>
  </si>
  <si>
    <t xml:space="preserve">en desarrollo </t>
  </si>
  <si>
    <t xml:space="preserve">se esta trabajando en una version general. La trabajada hasta ahora solo se puede acceder por determinado producto, cuadrar salidas y arregalar filtros </t>
  </si>
  <si>
    <t>14364 - CORRECCION LIBRO DE VENTAS Y COMPRAS</t>
  </si>
  <si>
    <t>se arreglo los totales calculos de impuestos y exentos esmugrupal</t>
  </si>
  <si>
    <t>completo / por validar comegecen</t>
  </si>
  <si>
    <t>14184 - puntos varios ERP</t>
  </si>
  <si>
    <t xml:space="preserve">para esmugrupal esta correcto, definir fallas en comegcen </t>
  </si>
  <si>
    <t>Definicion</t>
  </si>
  <si>
    <t>Estado actual</t>
  </si>
  <si>
    <t>Observaciones</t>
  </si>
  <si>
    <t>✔️</t>
  </si>
  <si>
    <t>14714 - Reincidencia Vales en Negativo</t>
  </si>
  <si>
    <t>Semana 04-05-2026</t>
  </si>
  <si>
    <t>u</t>
  </si>
  <si>
    <t>c</t>
  </si>
  <si>
    <t>sub</t>
  </si>
  <si>
    <t>M_Rep_CXC</t>
  </si>
  <si>
    <t>se interpolo los vales en el reporte para que cuadren saldos</t>
  </si>
  <si>
    <t>6.5.1</t>
  </si>
  <si>
    <t xml:space="preserve">m_repor_invn </t>
  </si>
  <si>
    <t>se arreglo el ultimo costo a la fecha</t>
  </si>
  <si>
    <t>exportacion a excel conforme a nuevo reporte</t>
  </si>
  <si>
    <t xml:space="preserve">se agrego botones y arreglo encabezado </t>
  </si>
  <si>
    <t>w_costo_promedio</t>
  </si>
  <si>
    <t>12,1</t>
  </si>
  <si>
    <t>w_select_rep_i</t>
  </si>
  <si>
    <t>se cambio costo de venta por preciod e venta</t>
  </si>
  <si>
    <t>R_KARDEX</t>
  </si>
  <si>
    <t>AGREGARON CAMPOS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</si>
</sst>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&quot;L&quot;* #,##0.00_-;\-&quot;L&quot;* #,##0.00_-;_-&quot;L&quot;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4" fontId="0" fillId="0" borderId="0" xfId="0" applyNumberFormat="1"/>
    <xf numFmtId="43" fontId="0" fillId="0" borderId="0" xfId="1" applyFont="1"/>
    <xf numFmtId="3" fontId="0" fillId="0" borderId="0" xfId="0" applyNumberFormat="1"/>
    <xf numFmtId="0" fontId="0" fillId="0" borderId="0" xfId="0" applyAlignment="1">
      <alignment wrapText="1"/>
    </xf>
    <xf numFmtId="164" fontId="0" fillId="0" borderId="0" xfId="2" applyFont="1"/>
    <xf numFmtId="0" fontId="0" fillId="3" borderId="0" xfId="0" applyFill="1"/>
    <xf numFmtId="164" fontId="0" fillId="3" borderId="0" xfId="2" applyFont="1" applyFill="1"/>
    <xf numFmtId="164" fontId="0" fillId="0" borderId="0" xfId="0" applyNumberFormat="1"/>
    <xf numFmtId="0" fontId="0" fillId="0" borderId="0" xfId="0" applyAlignment="1">
      <alignment horizontal="right"/>
    </xf>
    <xf numFmtId="0" fontId="0" fillId="0" borderId="2" xfId="0" applyBorder="1"/>
    <xf numFmtId="164" fontId="0" fillId="0" borderId="2" xfId="2" applyFont="1" applyBorder="1"/>
    <xf numFmtId="164" fontId="0" fillId="3" borderId="0" xfId="0" applyNumberFormat="1" applyFill="1"/>
    <xf numFmtId="0" fontId="2" fillId="0" borderId="0" xfId="0" applyFont="1" applyAlignment="1">
      <alignment wrapText="1"/>
    </xf>
    <xf numFmtId="164" fontId="0" fillId="0" borderId="0" xfId="2" applyFont="1" applyFill="1" applyBorder="1"/>
    <xf numFmtId="0" fontId="2" fillId="0" borderId="0" xfId="0" applyFont="1"/>
    <xf numFmtId="0" fontId="0" fillId="0" borderId="0" xfId="0" quotePrefix="1"/>
    <xf numFmtId="2" fontId="0" fillId="0" borderId="0" xfId="0" applyNumberFormat="1"/>
    <xf numFmtId="0" fontId="0" fillId="0" borderId="0" xfId="0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BBD9B-B973-419E-B723-706D7A196B5A}">
  <dimension ref="A3:F23"/>
  <sheetViews>
    <sheetView workbookViewId="0">
      <selection activeCell="D12" sqref="A3:D12"/>
    </sheetView>
  </sheetViews>
  <sheetFormatPr baseColWidth="10" defaultRowHeight="15" x14ac:dyDescent="0.25"/>
  <cols>
    <col min="1" max="1" width="61.42578125" customWidth="1"/>
    <col min="2" max="2" width="38.28515625" customWidth="1"/>
    <col min="3" max="3" width="59" customWidth="1"/>
    <col min="4" max="4" width="18" customWidth="1"/>
  </cols>
  <sheetData>
    <row r="3" spans="1:4" x14ac:dyDescent="0.25">
      <c r="A3" s="7" t="s">
        <v>173</v>
      </c>
      <c r="B3" s="7" t="s">
        <v>174</v>
      </c>
      <c r="C3" s="7" t="s">
        <v>175</v>
      </c>
      <c r="D3" s="7" t="s">
        <v>178</v>
      </c>
    </row>
    <row r="4" spans="1:4" x14ac:dyDescent="0.25">
      <c r="A4" t="s">
        <v>150</v>
      </c>
      <c r="B4" t="s">
        <v>151</v>
      </c>
      <c r="C4" s="5" t="s">
        <v>152</v>
      </c>
      <c r="D4" t="s">
        <v>176</v>
      </c>
    </row>
    <row r="5" spans="1:4" x14ac:dyDescent="0.25">
      <c r="A5" t="s">
        <v>153</v>
      </c>
      <c r="B5" t="s">
        <v>151</v>
      </c>
      <c r="C5" s="5"/>
      <c r="D5" t="s">
        <v>176</v>
      </c>
    </row>
    <row r="6" spans="1:4" ht="30" x14ac:dyDescent="0.25">
      <c r="A6" t="s">
        <v>177</v>
      </c>
      <c r="B6" t="s">
        <v>154</v>
      </c>
      <c r="C6" s="5" t="s">
        <v>155</v>
      </c>
      <c r="D6" t="s">
        <v>176</v>
      </c>
    </row>
    <row r="7" spans="1:4" ht="30" x14ac:dyDescent="0.25">
      <c r="A7" t="s">
        <v>156</v>
      </c>
      <c r="B7" t="s">
        <v>157</v>
      </c>
      <c r="C7" s="5" t="s">
        <v>158</v>
      </c>
      <c r="D7" s="17" t="s">
        <v>163</v>
      </c>
    </row>
    <row r="8" spans="1:4" ht="45" x14ac:dyDescent="0.25">
      <c r="A8" t="s">
        <v>159</v>
      </c>
      <c r="B8" t="s">
        <v>160</v>
      </c>
      <c r="C8" s="5" t="s">
        <v>161</v>
      </c>
      <c r="D8" s="17" t="s">
        <v>163</v>
      </c>
    </row>
    <row r="9" spans="1:4" x14ac:dyDescent="0.25">
      <c r="A9" t="s">
        <v>162</v>
      </c>
      <c r="B9" s="17" t="s">
        <v>163</v>
      </c>
      <c r="C9" s="5" t="s">
        <v>164</v>
      </c>
    </row>
    <row r="10" spans="1:4" ht="45" x14ac:dyDescent="0.25">
      <c r="A10" t="s">
        <v>165</v>
      </c>
      <c r="B10" t="s">
        <v>166</v>
      </c>
      <c r="C10" s="5" t="s">
        <v>167</v>
      </c>
      <c r="D10" t="s">
        <v>176</v>
      </c>
    </row>
    <row r="11" spans="1:4" ht="30" x14ac:dyDescent="0.25">
      <c r="A11" t="s">
        <v>168</v>
      </c>
      <c r="B11" t="s">
        <v>170</v>
      </c>
      <c r="C11" s="5" t="s">
        <v>169</v>
      </c>
      <c r="D11" t="s">
        <v>176</v>
      </c>
    </row>
    <row r="12" spans="1:4" x14ac:dyDescent="0.25">
      <c r="A12" t="s">
        <v>171</v>
      </c>
      <c r="B12" t="s">
        <v>166</v>
      </c>
      <c r="C12" s="5" t="s">
        <v>172</v>
      </c>
      <c r="D12" t="s">
        <v>176</v>
      </c>
    </row>
    <row r="23" spans="6:6" x14ac:dyDescent="0.25">
      <c r="F23" s="2">
        <v>1248848.4099999999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3"/>
  <sheetViews>
    <sheetView tabSelected="1" topLeftCell="A33" workbookViewId="0">
      <selection activeCell="L48" sqref="L48:L49"/>
    </sheetView>
  </sheetViews>
  <sheetFormatPr baseColWidth="10" defaultColWidth="8.85546875" defaultRowHeight="15" x14ac:dyDescent="0.25"/>
  <cols>
    <col min="2" max="2" width="5" customWidth="1"/>
    <col min="3" max="3" width="48.28515625" customWidth="1"/>
    <col min="4" max="4" width="39.28515625" customWidth="1"/>
    <col min="5" max="5" width="10.28515625" customWidth="1"/>
    <col min="6" max="6" width="22.28515625" customWidth="1"/>
    <col min="8" max="8" width="13.140625" customWidth="1"/>
    <col min="14" max="14" width="12.28515625" bestFit="1" customWidth="1"/>
  </cols>
  <sheetData>
    <row r="1" spans="1:13" x14ac:dyDescent="0.2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3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13" x14ac:dyDescent="0.2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spans="1:13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5" spans="1:13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</row>
    <row r="6" spans="1:13" x14ac:dyDescent="0.25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</row>
    <row r="7" spans="1:13" x14ac:dyDescent="0.25">
      <c r="A7" s="1" t="s">
        <v>1</v>
      </c>
      <c r="B7" s="1"/>
      <c r="C7" s="1" t="s">
        <v>2</v>
      </c>
      <c r="D7" s="1" t="s">
        <v>3</v>
      </c>
      <c r="E7" s="1" t="s">
        <v>4</v>
      </c>
      <c r="F7" s="1" t="s">
        <v>34</v>
      </c>
    </row>
    <row r="8" spans="1:13" x14ac:dyDescent="0.25">
      <c r="A8" t="s">
        <v>5</v>
      </c>
      <c r="C8" s="5"/>
      <c r="D8" t="s">
        <v>6</v>
      </c>
      <c r="E8">
        <v>440</v>
      </c>
    </row>
    <row r="9" spans="1:13" x14ac:dyDescent="0.25">
      <c r="A9">
        <v>6.4</v>
      </c>
      <c r="C9" s="5" t="s">
        <v>8</v>
      </c>
      <c r="D9" t="s">
        <v>7</v>
      </c>
      <c r="E9">
        <v>22</v>
      </c>
    </row>
    <row r="10" spans="1:13" x14ac:dyDescent="0.25">
      <c r="C10" s="5" t="s">
        <v>9</v>
      </c>
      <c r="D10" t="s">
        <v>7</v>
      </c>
      <c r="E10">
        <v>0</v>
      </c>
      <c r="H10" s="2"/>
    </row>
    <row r="11" spans="1:13" x14ac:dyDescent="0.25">
      <c r="C11" s="5" t="s">
        <v>10</v>
      </c>
      <c r="D11" t="s">
        <v>7</v>
      </c>
      <c r="E11">
        <v>100</v>
      </c>
    </row>
    <row r="12" spans="1:13" x14ac:dyDescent="0.25">
      <c r="C12" s="5" t="s">
        <v>12</v>
      </c>
      <c r="D12" t="s">
        <v>11</v>
      </c>
      <c r="E12">
        <v>10</v>
      </c>
      <c r="H12" s="2"/>
    </row>
    <row r="13" spans="1:13" x14ac:dyDescent="0.25">
      <c r="B13" t="s">
        <v>13</v>
      </c>
      <c r="C13" s="5" t="s">
        <v>14</v>
      </c>
      <c r="D13" t="s">
        <v>17</v>
      </c>
      <c r="H13" s="2"/>
    </row>
    <row r="14" spans="1:13" x14ac:dyDescent="0.25">
      <c r="B14" t="s">
        <v>13</v>
      </c>
      <c r="C14" s="5" t="s">
        <v>16</v>
      </c>
      <c r="D14" t="s">
        <v>15</v>
      </c>
      <c r="H14" s="2"/>
    </row>
    <row r="15" spans="1:13" x14ac:dyDescent="0.25">
      <c r="B15" t="s">
        <v>13</v>
      </c>
      <c r="C15" s="5" t="s">
        <v>19</v>
      </c>
      <c r="D15" t="s">
        <v>18</v>
      </c>
      <c r="H15" s="2"/>
    </row>
    <row r="16" spans="1:13" x14ac:dyDescent="0.25">
      <c r="C16" s="5" t="s">
        <v>21</v>
      </c>
      <c r="D16" t="s">
        <v>20</v>
      </c>
      <c r="E16">
        <v>471</v>
      </c>
      <c r="F16" t="s">
        <v>35</v>
      </c>
      <c r="H16" s="2"/>
    </row>
    <row r="17" spans="1:13" x14ac:dyDescent="0.25">
      <c r="C17" s="5" t="s">
        <v>23</v>
      </c>
      <c r="D17" t="s">
        <v>22</v>
      </c>
    </row>
    <row r="18" spans="1:13" x14ac:dyDescent="0.25">
      <c r="C18" s="5" t="s">
        <v>24</v>
      </c>
      <c r="D18" t="s">
        <v>20</v>
      </c>
      <c r="E18">
        <v>367</v>
      </c>
    </row>
    <row r="19" spans="1:13" x14ac:dyDescent="0.25">
      <c r="B19" t="s">
        <v>13</v>
      </c>
      <c r="C19" s="5" t="s">
        <v>25</v>
      </c>
      <c r="D19" t="s">
        <v>26</v>
      </c>
    </row>
    <row r="20" spans="1:13" x14ac:dyDescent="0.25">
      <c r="C20" s="5" t="s">
        <v>27</v>
      </c>
      <c r="D20" t="s">
        <v>28</v>
      </c>
    </row>
    <row r="21" spans="1:13" x14ac:dyDescent="0.25">
      <c r="B21" t="s">
        <v>13</v>
      </c>
      <c r="C21" s="5" t="s">
        <v>31</v>
      </c>
      <c r="D21" t="s">
        <v>30</v>
      </c>
      <c r="E21" t="s">
        <v>29</v>
      </c>
    </row>
    <row r="22" spans="1:13" x14ac:dyDescent="0.25">
      <c r="C22" s="5" t="s">
        <v>33</v>
      </c>
      <c r="D22" t="s">
        <v>32</v>
      </c>
      <c r="E22">
        <v>66</v>
      </c>
    </row>
    <row r="23" spans="1:13" x14ac:dyDescent="0.25">
      <c r="C23" s="5" t="s">
        <v>36</v>
      </c>
      <c r="D23" t="s">
        <v>37</v>
      </c>
      <c r="F23" t="s">
        <v>38</v>
      </c>
    </row>
    <row r="24" spans="1:13" x14ac:dyDescent="0.25">
      <c r="C24" s="5" t="s">
        <v>23</v>
      </c>
      <c r="D24" t="s">
        <v>39</v>
      </c>
    </row>
    <row r="25" spans="1:13" x14ac:dyDescent="0.25">
      <c r="C25" s="5" t="s">
        <v>40</v>
      </c>
      <c r="D25" t="s">
        <v>20</v>
      </c>
      <c r="E25" s="4">
        <v>200204</v>
      </c>
      <c r="F25" t="s">
        <v>49</v>
      </c>
    </row>
    <row r="26" spans="1:13" ht="30" x14ac:dyDescent="0.25">
      <c r="A26" t="s">
        <v>50</v>
      </c>
      <c r="C26" s="5" t="s">
        <v>51</v>
      </c>
      <c r="D26" t="s">
        <v>7</v>
      </c>
      <c r="E26">
        <v>101</v>
      </c>
      <c r="F26" t="s">
        <v>52</v>
      </c>
    </row>
    <row r="27" spans="1:13" x14ac:dyDescent="0.25">
      <c r="C27" s="5" t="s">
        <v>53</v>
      </c>
      <c r="D27" t="s">
        <v>54</v>
      </c>
      <c r="E27" s="4">
        <v>15101</v>
      </c>
    </row>
    <row r="28" spans="1:13" x14ac:dyDescent="0.25">
      <c r="C28" s="5" t="s">
        <v>55</v>
      </c>
      <c r="D28" t="s">
        <v>11</v>
      </c>
      <c r="E28" s="10" t="s">
        <v>56</v>
      </c>
    </row>
    <row r="29" spans="1:13" x14ac:dyDescent="0.25">
      <c r="C29" s="5" t="s">
        <v>61</v>
      </c>
      <c r="D29" s="5" t="s">
        <v>60</v>
      </c>
      <c r="E29" s="4">
        <v>266265</v>
      </c>
      <c r="F29" t="s">
        <v>62</v>
      </c>
    </row>
    <row r="30" spans="1:13" ht="30" x14ac:dyDescent="0.25">
      <c r="B30" t="s">
        <v>13</v>
      </c>
      <c r="C30" s="5" t="s">
        <v>64</v>
      </c>
      <c r="D30" t="s">
        <v>63</v>
      </c>
    </row>
    <row r="31" spans="1:13" x14ac:dyDescent="0.25">
      <c r="C31" s="5" t="s">
        <v>66</v>
      </c>
      <c r="D31" t="s">
        <v>65</v>
      </c>
      <c r="E31">
        <v>15</v>
      </c>
      <c r="M31" s="2"/>
    </row>
    <row r="32" spans="1:13" ht="30" x14ac:dyDescent="0.25">
      <c r="B32" t="s">
        <v>13</v>
      </c>
      <c r="C32" s="5" t="s">
        <v>68</v>
      </c>
      <c r="D32" t="s">
        <v>67</v>
      </c>
    </row>
    <row r="33" spans="1:16" ht="30" x14ac:dyDescent="0.25">
      <c r="C33" s="5" t="s">
        <v>118</v>
      </c>
      <c r="D33" t="s">
        <v>11</v>
      </c>
      <c r="E33" s="4">
        <v>366367</v>
      </c>
      <c r="F33" t="s">
        <v>117</v>
      </c>
      <c r="O33" s="3" t="s">
        <v>41</v>
      </c>
      <c r="P33" t="s">
        <v>42</v>
      </c>
    </row>
    <row r="34" spans="1:16" x14ac:dyDescent="0.25">
      <c r="C34" s="5" t="s">
        <v>133</v>
      </c>
      <c r="D34" t="s">
        <v>11</v>
      </c>
      <c r="O34" s="3" t="s">
        <v>43</v>
      </c>
      <c r="P34" t="s">
        <v>44</v>
      </c>
    </row>
    <row r="35" spans="1:16" x14ac:dyDescent="0.25">
      <c r="C35" s="14" t="s">
        <v>136</v>
      </c>
      <c r="D35" t="s">
        <v>134</v>
      </c>
      <c r="E35" t="s">
        <v>135</v>
      </c>
      <c r="H35" s="3"/>
      <c r="O35" s="3" t="s">
        <v>46</v>
      </c>
      <c r="P35" t="s">
        <v>45</v>
      </c>
    </row>
    <row r="36" spans="1:16" x14ac:dyDescent="0.25">
      <c r="B36" t="s">
        <v>13</v>
      </c>
      <c r="C36" s="5" t="s">
        <v>138</v>
      </c>
      <c r="D36" t="s">
        <v>137</v>
      </c>
      <c r="H36" s="3"/>
      <c r="O36" s="3" t="s">
        <v>48</v>
      </c>
      <c r="P36" t="s">
        <v>47</v>
      </c>
    </row>
    <row r="37" spans="1:16" x14ac:dyDescent="0.25">
      <c r="C37" s="5" t="s">
        <v>140</v>
      </c>
      <c r="D37" t="s">
        <v>139</v>
      </c>
      <c r="E37" t="s">
        <v>141</v>
      </c>
    </row>
    <row r="38" spans="1:16" x14ac:dyDescent="0.25">
      <c r="C38" s="5" t="s">
        <v>142</v>
      </c>
      <c r="D38" t="s">
        <v>143</v>
      </c>
      <c r="E38" t="s">
        <v>144</v>
      </c>
    </row>
    <row r="39" spans="1:16" x14ac:dyDescent="0.25">
      <c r="C39" s="5" t="s">
        <v>146</v>
      </c>
      <c r="D39" t="s">
        <v>145</v>
      </c>
    </row>
    <row r="40" spans="1:16" x14ac:dyDescent="0.25">
      <c r="C40" s="5" t="s">
        <v>147</v>
      </c>
    </row>
    <row r="41" spans="1:16" x14ac:dyDescent="0.25">
      <c r="C41" s="5" t="s">
        <v>149</v>
      </c>
      <c r="D41" s="2" t="s">
        <v>148</v>
      </c>
    </row>
    <row r="42" spans="1:16" ht="30" x14ac:dyDescent="0.25">
      <c r="C42" s="5" t="s">
        <v>183</v>
      </c>
      <c r="D42" s="5" t="s">
        <v>182</v>
      </c>
      <c r="E42">
        <v>2</v>
      </c>
    </row>
    <row r="44" spans="1:16" x14ac:dyDescent="0.25">
      <c r="A44" t="s">
        <v>184</v>
      </c>
      <c r="C44" s="5" t="s">
        <v>186</v>
      </c>
      <c r="D44" s="5" t="s">
        <v>185</v>
      </c>
      <c r="E44">
        <v>6</v>
      </c>
    </row>
    <row r="45" spans="1:16" x14ac:dyDescent="0.25">
      <c r="C45" s="5" t="s">
        <v>187</v>
      </c>
      <c r="D45" s="5" t="s">
        <v>185</v>
      </c>
      <c r="E45">
        <v>70</v>
      </c>
    </row>
    <row r="46" spans="1:16" x14ac:dyDescent="0.25">
      <c r="C46" s="5" t="s">
        <v>188</v>
      </c>
      <c r="D46" s="5" t="s">
        <v>189</v>
      </c>
      <c r="E46" t="s">
        <v>190</v>
      </c>
    </row>
    <row r="47" spans="1:16" x14ac:dyDescent="0.25">
      <c r="C47" s="5" t="s">
        <v>192</v>
      </c>
      <c r="D47" s="5" t="s">
        <v>191</v>
      </c>
      <c r="E47">
        <v>450</v>
      </c>
    </row>
    <row r="48" spans="1:16" x14ac:dyDescent="0.25">
      <c r="C48" s="5" t="s">
        <v>194</v>
      </c>
      <c r="D48" s="5" t="s">
        <v>193</v>
      </c>
      <c r="J48">
        <v>2</v>
      </c>
      <c r="K48">
        <v>29.56</v>
      </c>
      <c r="L48">
        <f>J48*K48</f>
        <v>59.12</v>
      </c>
    </row>
    <row r="49" spans="10:12" x14ac:dyDescent="0.25">
      <c r="J49">
        <v>3</v>
      </c>
      <c r="K49">
        <v>104.34</v>
      </c>
      <c r="L49">
        <f>J49*K49</f>
        <v>313.02</v>
      </c>
    </row>
    <row r="58" spans="10:12" x14ac:dyDescent="0.25">
      <c r="K58" s="2"/>
    </row>
    <row r="113" spans="14:14" x14ac:dyDescent="0.25">
      <c r="N113" s="6"/>
    </row>
  </sheetData>
  <mergeCells count="1">
    <mergeCell ref="A1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E3F36-FCD2-4D59-81CE-AA1D1D1D0627}">
  <dimension ref="A1:N48"/>
  <sheetViews>
    <sheetView topLeftCell="A28" workbookViewId="0">
      <selection activeCell="N48" sqref="N48"/>
    </sheetView>
  </sheetViews>
  <sheetFormatPr baseColWidth="10" defaultRowHeight="15" x14ac:dyDescent="0.25"/>
  <cols>
    <col min="1" max="2" width="12.28515625" bestFit="1" customWidth="1"/>
    <col min="3" max="3" width="14.140625" bestFit="1" customWidth="1"/>
    <col min="4" max="4" width="12.28515625" bestFit="1" customWidth="1"/>
    <col min="5" max="5" width="13.7109375" bestFit="1" customWidth="1"/>
    <col min="6" max="6" width="14.140625" bestFit="1" customWidth="1"/>
    <col min="7" max="7" width="13.7109375" bestFit="1" customWidth="1"/>
    <col min="10" max="10" width="13.7109375" bestFit="1" customWidth="1"/>
    <col min="11" max="11" width="12.28515625" bestFit="1" customWidth="1"/>
    <col min="12" max="12" width="13.7109375" bestFit="1" customWidth="1"/>
  </cols>
  <sheetData>
    <row r="1" spans="2:12" x14ac:dyDescent="0.25">
      <c r="B1">
        <v>0</v>
      </c>
      <c r="C1">
        <v>0</v>
      </c>
      <c r="D1">
        <f>B1*C1</f>
        <v>0</v>
      </c>
    </row>
    <row r="2" spans="2:12" x14ac:dyDescent="0.25">
      <c r="B2">
        <v>22</v>
      </c>
      <c r="C2">
        <v>821.74</v>
      </c>
      <c r="D2">
        <f>B2*C2</f>
        <v>18078.28</v>
      </c>
      <c r="F2">
        <v>2</v>
      </c>
      <c r="G2">
        <v>807.04</v>
      </c>
      <c r="H2">
        <f>G2*F2</f>
        <v>1614.08</v>
      </c>
    </row>
    <row r="3" spans="2:12" x14ac:dyDescent="0.25">
      <c r="B3">
        <v>100</v>
      </c>
      <c r="C3">
        <v>807.04</v>
      </c>
      <c r="D3">
        <f t="shared" ref="D3:D4" si="0">B3*C3</f>
        <v>80704</v>
      </c>
      <c r="F3">
        <v>1</v>
      </c>
      <c r="G3">
        <v>900</v>
      </c>
      <c r="H3">
        <f>G3*F3</f>
        <v>900</v>
      </c>
    </row>
    <row r="4" spans="2:12" x14ac:dyDescent="0.25">
      <c r="B4">
        <v>5</v>
      </c>
      <c r="C4">
        <v>900</v>
      </c>
      <c r="D4">
        <f t="shared" si="0"/>
        <v>4500</v>
      </c>
      <c r="F4">
        <v>1</v>
      </c>
      <c r="G4">
        <v>900</v>
      </c>
      <c r="H4">
        <f>G4*F4</f>
        <v>900</v>
      </c>
    </row>
    <row r="5" spans="2:12" x14ac:dyDescent="0.25">
      <c r="B5" s="7">
        <f>SUM(B1:B4)</f>
        <v>127</v>
      </c>
      <c r="C5" s="7">
        <f>SUM(C1:C4)</f>
        <v>2528.7799999999997</v>
      </c>
      <c r="D5" s="7">
        <f>SUM(D1:D4)</f>
        <v>103282.28</v>
      </c>
      <c r="F5" s="7">
        <f>SUM(F2:F4)</f>
        <v>4</v>
      </c>
      <c r="G5" s="7">
        <f>SUM(G2:G4)</f>
        <v>2607.04</v>
      </c>
      <c r="H5" s="8">
        <f>SUM(H2:H4)</f>
        <v>3414.08</v>
      </c>
    </row>
    <row r="6" spans="2:12" x14ac:dyDescent="0.25">
      <c r="C6" s="9"/>
    </row>
    <row r="7" spans="2:12" x14ac:dyDescent="0.25">
      <c r="D7" s="9">
        <f>D5/B5</f>
        <v>813.24629921259839</v>
      </c>
    </row>
    <row r="9" spans="2:12" x14ac:dyDescent="0.25">
      <c r="B9">
        <f>B5-F5</f>
        <v>123</v>
      </c>
      <c r="D9" s="9">
        <f>D5-H5</f>
        <v>99868.2</v>
      </c>
    </row>
    <row r="11" spans="2:12" x14ac:dyDescent="0.25">
      <c r="D11" s="9">
        <f>D9/B9</f>
        <v>811.9365853658536</v>
      </c>
    </row>
    <row r="14" spans="2:12" x14ac:dyDescent="0.25">
      <c r="B14" s="16">
        <v>1110104</v>
      </c>
      <c r="F14">
        <v>1110201</v>
      </c>
      <c r="J14" s="6"/>
      <c r="L14" s="6">
        <v>1128432.67</v>
      </c>
    </row>
    <row r="15" spans="2:12" x14ac:dyDescent="0.25">
      <c r="B15" t="s">
        <v>57</v>
      </c>
      <c r="C15" s="6">
        <v>118382.2</v>
      </c>
      <c r="D15" s="6">
        <v>171047.49</v>
      </c>
      <c r="F15" t="s">
        <v>57</v>
      </c>
      <c r="G15" s="6">
        <v>8350</v>
      </c>
      <c r="H15" s="6">
        <v>100</v>
      </c>
      <c r="L15" s="6">
        <f>C17+G17</f>
        <v>1165892.92</v>
      </c>
    </row>
    <row r="16" spans="2:12" x14ac:dyDescent="0.25">
      <c r="B16" t="s">
        <v>58</v>
      </c>
      <c r="C16" s="6">
        <v>1328590.4099999999</v>
      </c>
      <c r="D16" s="6">
        <v>171047.49</v>
      </c>
      <c r="F16">
        <v>8450</v>
      </c>
      <c r="G16" s="6">
        <v>8450</v>
      </c>
      <c r="H16" s="6">
        <v>100</v>
      </c>
    </row>
    <row r="17" spans="1:14" x14ac:dyDescent="0.25">
      <c r="B17" s="11" t="s">
        <v>59</v>
      </c>
      <c r="C17" s="12">
        <v>1157542.92</v>
      </c>
      <c r="D17" s="12"/>
      <c r="E17" s="9"/>
      <c r="F17" s="11" t="s">
        <v>59</v>
      </c>
      <c r="G17" s="12">
        <v>8350</v>
      </c>
      <c r="H17" s="12"/>
    </row>
    <row r="18" spans="1:14" x14ac:dyDescent="0.25">
      <c r="C18" s="6"/>
      <c r="D18" s="6"/>
      <c r="G18" s="15">
        <v>-7500</v>
      </c>
      <c r="J18" s="9"/>
      <c r="K18" s="13"/>
    </row>
    <row r="19" spans="1:14" x14ac:dyDescent="0.25">
      <c r="C19" s="6"/>
      <c r="D19" s="6"/>
      <c r="K19" s="6"/>
    </row>
    <row r="20" spans="1:14" x14ac:dyDescent="0.25">
      <c r="C20" s="6"/>
      <c r="D20" s="6"/>
    </row>
    <row r="21" spans="1:14" x14ac:dyDescent="0.25">
      <c r="D21" s="6"/>
      <c r="E21" s="6"/>
      <c r="G21" s="6"/>
      <c r="H21" s="9"/>
      <c r="N21">
        <v>20</v>
      </c>
    </row>
    <row r="22" spans="1:14" x14ac:dyDescent="0.25">
      <c r="D22" s="6"/>
      <c r="E22" s="2"/>
      <c r="H22" s="13"/>
      <c r="N22">
        <v>20</v>
      </c>
    </row>
    <row r="23" spans="1:14" x14ac:dyDescent="0.25">
      <c r="G23" s="2"/>
      <c r="N23">
        <v>15</v>
      </c>
    </row>
    <row r="24" spans="1:14" x14ac:dyDescent="0.25">
      <c r="N24">
        <v>10</v>
      </c>
    </row>
    <row r="25" spans="1:14" x14ac:dyDescent="0.25">
      <c r="F25" s="6"/>
      <c r="N25">
        <v>20</v>
      </c>
    </row>
    <row r="26" spans="1:14" x14ac:dyDescent="0.25">
      <c r="A26" s="6"/>
      <c r="B26" s="9"/>
      <c r="C26" s="9"/>
      <c r="N26">
        <v>1</v>
      </c>
    </row>
    <row r="27" spans="1:14" x14ac:dyDescent="0.25">
      <c r="N27">
        <v>20</v>
      </c>
    </row>
    <row r="28" spans="1:14" x14ac:dyDescent="0.25">
      <c r="N28">
        <v>20</v>
      </c>
    </row>
    <row r="29" spans="1:14" x14ac:dyDescent="0.25">
      <c r="N29">
        <v>30</v>
      </c>
    </row>
    <row r="30" spans="1:14" x14ac:dyDescent="0.25">
      <c r="F30" s="9"/>
      <c r="N30">
        <v>12</v>
      </c>
    </row>
    <row r="31" spans="1:14" x14ac:dyDescent="0.25">
      <c r="N31">
        <v>20</v>
      </c>
    </row>
    <row r="32" spans="1:14" x14ac:dyDescent="0.25">
      <c r="N32">
        <v>20</v>
      </c>
    </row>
    <row r="33" spans="14:14" x14ac:dyDescent="0.25">
      <c r="N33">
        <v>26</v>
      </c>
    </row>
    <row r="34" spans="14:14" x14ac:dyDescent="0.25">
      <c r="N34">
        <v>25</v>
      </c>
    </row>
    <row r="35" spans="14:14" x14ac:dyDescent="0.25">
      <c r="N35">
        <v>10</v>
      </c>
    </row>
    <row r="36" spans="14:14" x14ac:dyDescent="0.25">
      <c r="N36">
        <v>25</v>
      </c>
    </row>
    <row r="37" spans="14:14" x14ac:dyDescent="0.25">
      <c r="N37">
        <v>10</v>
      </c>
    </row>
    <row r="38" spans="14:14" x14ac:dyDescent="0.25">
      <c r="N38">
        <v>25</v>
      </c>
    </row>
    <row r="39" spans="14:14" x14ac:dyDescent="0.25">
      <c r="N39">
        <v>10</v>
      </c>
    </row>
    <row r="40" spans="14:14" x14ac:dyDescent="0.25">
      <c r="N40">
        <v>25</v>
      </c>
    </row>
    <row r="41" spans="14:14" x14ac:dyDescent="0.25">
      <c r="N41">
        <v>30</v>
      </c>
    </row>
    <row r="42" spans="14:14" x14ac:dyDescent="0.25">
      <c r="N42">
        <v>24</v>
      </c>
    </row>
    <row r="43" spans="14:14" x14ac:dyDescent="0.25">
      <c r="N43">
        <v>30</v>
      </c>
    </row>
    <row r="44" spans="14:14" x14ac:dyDescent="0.25">
      <c r="N44">
        <v>30</v>
      </c>
    </row>
    <row r="45" spans="14:14" x14ac:dyDescent="0.25">
      <c r="N45">
        <v>20</v>
      </c>
    </row>
    <row r="46" spans="14:14" x14ac:dyDescent="0.25">
      <c r="N46">
        <v>16</v>
      </c>
    </row>
    <row r="47" spans="14:14" x14ac:dyDescent="0.25">
      <c r="N47">
        <v>10</v>
      </c>
    </row>
    <row r="48" spans="14:14" x14ac:dyDescent="0.25">
      <c r="N48">
        <f>SUM(N21:N47)</f>
        <v>524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96DCF-5607-4643-8615-E51DE316F486}">
  <dimension ref="A1:J162"/>
  <sheetViews>
    <sheetView topLeftCell="E108" workbookViewId="0">
      <selection activeCell="N121" sqref="N121:U533"/>
    </sheetView>
  </sheetViews>
  <sheetFormatPr baseColWidth="10" defaultRowHeight="15" x14ac:dyDescent="0.25"/>
  <cols>
    <col min="2" max="2" width="15.7109375" bestFit="1" customWidth="1"/>
    <col min="4" max="4" width="15.7109375" bestFit="1" customWidth="1"/>
    <col min="6" max="7" width="12.28515625" bestFit="1" customWidth="1"/>
    <col min="8" max="8" width="13.7109375" bestFit="1" customWidth="1"/>
    <col min="9" max="10" width="12.28515625" bestFit="1" customWidth="1"/>
  </cols>
  <sheetData>
    <row r="1" spans="1:10" x14ac:dyDescent="0.25">
      <c r="A1">
        <v>310000085</v>
      </c>
      <c r="B1">
        <v>12</v>
      </c>
      <c r="C1">
        <v>950</v>
      </c>
      <c r="D1">
        <f>B1*C1</f>
        <v>11400</v>
      </c>
      <c r="G1" t="s">
        <v>69</v>
      </c>
      <c r="H1" t="s">
        <v>70</v>
      </c>
      <c r="I1" t="s">
        <v>71</v>
      </c>
    </row>
    <row r="2" spans="1:10" x14ac:dyDescent="0.25">
      <c r="A2">
        <v>310000084</v>
      </c>
      <c r="B2">
        <v>6</v>
      </c>
      <c r="C2">
        <v>1260</v>
      </c>
      <c r="D2">
        <f t="shared" ref="D2:D65" si="0">B2*C2</f>
        <v>7560</v>
      </c>
      <c r="G2" t="s">
        <v>72</v>
      </c>
      <c r="H2">
        <v>3</v>
      </c>
      <c r="I2">
        <v>950</v>
      </c>
      <c r="J2">
        <f>H2*I2</f>
        <v>2850</v>
      </c>
    </row>
    <row r="3" spans="1:10" x14ac:dyDescent="0.25">
      <c r="A3">
        <v>310000083</v>
      </c>
      <c r="B3">
        <v>3</v>
      </c>
      <c r="C3">
        <v>12210</v>
      </c>
      <c r="D3">
        <f t="shared" si="0"/>
        <v>36630</v>
      </c>
      <c r="G3" t="s">
        <v>73</v>
      </c>
      <c r="H3">
        <v>20</v>
      </c>
      <c r="I3">
        <v>200</v>
      </c>
      <c r="J3">
        <f t="shared" ref="J3:J50" si="1">H3*I3</f>
        <v>4000</v>
      </c>
    </row>
    <row r="4" spans="1:10" x14ac:dyDescent="0.25">
      <c r="A4">
        <v>310000082</v>
      </c>
      <c r="B4">
        <v>20</v>
      </c>
      <c r="C4">
        <v>200</v>
      </c>
      <c r="D4">
        <f t="shared" si="0"/>
        <v>4000</v>
      </c>
      <c r="G4" t="s">
        <v>74</v>
      </c>
      <c r="H4">
        <v>17</v>
      </c>
      <c r="I4">
        <v>123</v>
      </c>
      <c r="J4">
        <f t="shared" si="1"/>
        <v>2091</v>
      </c>
    </row>
    <row r="5" spans="1:10" x14ac:dyDescent="0.25">
      <c r="A5">
        <v>310000081</v>
      </c>
      <c r="B5">
        <v>0</v>
      </c>
      <c r="C5">
        <v>17</v>
      </c>
      <c r="D5">
        <f t="shared" si="0"/>
        <v>0</v>
      </c>
      <c r="G5" t="s">
        <v>75</v>
      </c>
      <c r="H5">
        <v>3</v>
      </c>
      <c r="I5">
        <v>3300</v>
      </c>
      <c r="J5">
        <f t="shared" si="1"/>
        <v>9900</v>
      </c>
    </row>
    <row r="6" spans="1:10" x14ac:dyDescent="0.25">
      <c r="A6">
        <v>310000081</v>
      </c>
      <c r="B6">
        <v>17</v>
      </c>
      <c r="C6">
        <v>123</v>
      </c>
      <c r="D6">
        <f t="shared" si="0"/>
        <v>2091</v>
      </c>
      <c r="G6" t="s">
        <v>76</v>
      </c>
      <c r="H6">
        <v>1</v>
      </c>
      <c r="I6">
        <v>652.1739</v>
      </c>
      <c r="J6">
        <f t="shared" si="1"/>
        <v>652.1739</v>
      </c>
    </row>
    <row r="7" spans="1:10" x14ac:dyDescent="0.25">
      <c r="A7">
        <v>310000080</v>
      </c>
      <c r="B7">
        <v>3</v>
      </c>
      <c r="C7">
        <v>3300</v>
      </c>
      <c r="D7">
        <f t="shared" si="0"/>
        <v>9900</v>
      </c>
      <c r="G7" t="s">
        <v>77</v>
      </c>
      <c r="H7">
        <v>59</v>
      </c>
      <c r="I7">
        <v>10</v>
      </c>
      <c r="J7">
        <f t="shared" si="1"/>
        <v>590</v>
      </c>
    </row>
    <row r="8" spans="1:10" x14ac:dyDescent="0.25">
      <c r="A8">
        <v>310000079</v>
      </c>
      <c r="B8">
        <v>1</v>
      </c>
      <c r="C8">
        <v>652.1739</v>
      </c>
      <c r="D8">
        <f t="shared" si="0"/>
        <v>652.1739</v>
      </c>
      <c r="G8" t="s">
        <v>78</v>
      </c>
      <c r="H8">
        <v>1</v>
      </c>
      <c r="I8">
        <v>675</v>
      </c>
      <c r="J8">
        <f t="shared" si="1"/>
        <v>675</v>
      </c>
    </row>
    <row r="9" spans="1:10" x14ac:dyDescent="0.25">
      <c r="A9">
        <v>310000078</v>
      </c>
      <c r="B9">
        <v>59</v>
      </c>
      <c r="C9">
        <v>10</v>
      </c>
      <c r="D9">
        <f t="shared" si="0"/>
        <v>590</v>
      </c>
      <c r="G9" t="s">
        <v>79</v>
      </c>
      <c r="H9">
        <v>3</v>
      </c>
      <c r="I9">
        <v>1005</v>
      </c>
      <c r="J9">
        <f t="shared" si="1"/>
        <v>3015</v>
      </c>
    </row>
    <row r="10" spans="1:10" x14ac:dyDescent="0.25">
      <c r="A10">
        <v>310000077</v>
      </c>
      <c r="B10">
        <v>1</v>
      </c>
      <c r="C10">
        <v>675</v>
      </c>
      <c r="D10">
        <f t="shared" si="0"/>
        <v>675</v>
      </c>
      <c r="G10" t="s">
        <v>80</v>
      </c>
      <c r="H10">
        <v>18</v>
      </c>
      <c r="I10">
        <v>2800</v>
      </c>
      <c r="J10">
        <f t="shared" si="1"/>
        <v>50400</v>
      </c>
    </row>
    <row r="11" spans="1:10" x14ac:dyDescent="0.25">
      <c r="A11">
        <v>310000076</v>
      </c>
      <c r="B11">
        <v>3</v>
      </c>
      <c r="C11">
        <v>1005</v>
      </c>
      <c r="D11">
        <f t="shared" si="0"/>
        <v>3015</v>
      </c>
      <c r="G11" t="s">
        <v>81</v>
      </c>
      <c r="H11">
        <v>1</v>
      </c>
      <c r="I11">
        <v>350</v>
      </c>
      <c r="J11">
        <f t="shared" si="1"/>
        <v>350</v>
      </c>
    </row>
    <row r="12" spans="1:10" x14ac:dyDescent="0.25">
      <c r="A12">
        <v>310000075</v>
      </c>
      <c r="B12">
        <v>18</v>
      </c>
      <c r="C12">
        <v>2800</v>
      </c>
      <c r="D12">
        <f t="shared" si="0"/>
        <v>50400</v>
      </c>
      <c r="G12" t="s">
        <v>82</v>
      </c>
      <c r="H12">
        <v>10</v>
      </c>
      <c r="I12">
        <v>220</v>
      </c>
      <c r="J12">
        <f t="shared" si="1"/>
        <v>2200</v>
      </c>
    </row>
    <row r="13" spans="1:10" x14ac:dyDescent="0.25">
      <c r="A13">
        <v>310000071</v>
      </c>
      <c r="B13">
        <v>1</v>
      </c>
      <c r="C13">
        <v>350</v>
      </c>
      <c r="D13">
        <f t="shared" si="0"/>
        <v>350</v>
      </c>
      <c r="G13" t="s">
        <v>83</v>
      </c>
      <c r="H13">
        <v>1</v>
      </c>
      <c r="I13">
        <v>8350</v>
      </c>
      <c r="J13">
        <f t="shared" si="1"/>
        <v>8350</v>
      </c>
    </row>
    <row r="14" spans="1:10" x14ac:dyDescent="0.25">
      <c r="A14">
        <v>310000069</v>
      </c>
      <c r="B14">
        <v>22</v>
      </c>
      <c r="C14">
        <v>220</v>
      </c>
      <c r="D14">
        <f t="shared" si="0"/>
        <v>4840</v>
      </c>
      <c r="G14" t="s">
        <v>84</v>
      </c>
      <c r="H14">
        <v>1</v>
      </c>
      <c r="I14">
        <v>900</v>
      </c>
      <c r="J14">
        <f t="shared" si="1"/>
        <v>900</v>
      </c>
    </row>
    <row r="15" spans="1:10" x14ac:dyDescent="0.25">
      <c r="A15">
        <v>310000066</v>
      </c>
      <c r="B15">
        <v>1</v>
      </c>
      <c r="C15">
        <v>8350</v>
      </c>
      <c r="D15">
        <f t="shared" si="0"/>
        <v>8350</v>
      </c>
      <c r="G15" t="s">
        <v>85</v>
      </c>
      <c r="H15">
        <v>4</v>
      </c>
      <c r="I15">
        <v>630</v>
      </c>
      <c r="J15">
        <f t="shared" si="1"/>
        <v>2520</v>
      </c>
    </row>
    <row r="16" spans="1:10" x14ac:dyDescent="0.25">
      <c r="A16">
        <v>310000065</v>
      </c>
      <c r="B16">
        <v>1</v>
      </c>
      <c r="C16">
        <v>900</v>
      </c>
      <c r="D16">
        <f t="shared" si="0"/>
        <v>900</v>
      </c>
      <c r="G16" t="s">
        <v>86</v>
      </c>
      <c r="H16">
        <v>1</v>
      </c>
      <c r="I16">
        <v>350</v>
      </c>
      <c r="J16">
        <f t="shared" si="1"/>
        <v>350</v>
      </c>
    </row>
    <row r="17" spans="1:10" x14ac:dyDescent="0.25">
      <c r="A17">
        <v>310000059</v>
      </c>
      <c r="B17">
        <v>4</v>
      </c>
      <c r="C17">
        <v>630</v>
      </c>
      <c r="D17">
        <f t="shared" si="0"/>
        <v>2520</v>
      </c>
      <c r="G17" t="s">
        <v>87</v>
      </c>
      <c r="H17">
        <v>3</v>
      </c>
      <c r="I17">
        <v>121.74</v>
      </c>
      <c r="J17">
        <f t="shared" si="1"/>
        <v>365.21999999999997</v>
      </c>
    </row>
    <row r="18" spans="1:10" x14ac:dyDescent="0.25">
      <c r="A18">
        <v>310000058</v>
      </c>
      <c r="B18">
        <v>1</v>
      </c>
      <c r="C18">
        <v>350</v>
      </c>
      <c r="D18">
        <f t="shared" si="0"/>
        <v>350</v>
      </c>
      <c r="G18" t="s">
        <v>88</v>
      </c>
      <c r="H18">
        <v>4</v>
      </c>
      <c r="I18">
        <v>126.09</v>
      </c>
      <c r="J18">
        <f t="shared" si="1"/>
        <v>504.36</v>
      </c>
    </row>
    <row r="19" spans="1:10" x14ac:dyDescent="0.25">
      <c r="A19">
        <v>310000056</v>
      </c>
      <c r="B19">
        <v>3</v>
      </c>
      <c r="C19">
        <v>121.74</v>
      </c>
      <c r="D19">
        <f t="shared" si="0"/>
        <v>365.21999999999997</v>
      </c>
      <c r="G19" t="s">
        <v>89</v>
      </c>
      <c r="H19">
        <v>4</v>
      </c>
      <c r="I19">
        <v>108.7</v>
      </c>
      <c r="J19">
        <f t="shared" si="1"/>
        <v>434.8</v>
      </c>
    </row>
    <row r="20" spans="1:10" x14ac:dyDescent="0.25">
      <c r="A20">
        <v>310000055</v>
      </c>
      <c r="B20">
        <v>4</v>
      </c>
      <c r="C20">
        <v>126.09</v>
      </c>
      <c r="D20">
        <f t="shared" si="0"/>
        <v>504.36</v>
      </c>
      <c r="G20" t="s">
        <v>89</v>
      </c>
      <c r="H20">
        <v>3</v>
      </c>
      <c r="I20">
        <v>108.69499999999999</v>
      </c>
      <c r="J20">
        <f t="shared" si="1"/>
        <v>326.08499999999998</v>
      </c>
    </row>
    <row r="21" spans="1:10" x14ac:dyDescent="0.25">
      <c r="A21">
        <v>310000054</v>
      </c>
      <c r="B21">
        <v>4</v>
      </c>
      <c r="C21">
        <v>108.7</v>
      </c>
      <c r="D21">
        <f t="shared" si="0"/>
        <v>434.8</v>
      </c>
      <c r="G21" t="s">
        <v>89</v>
      </c>
      <c r="H21">
        <v>3</v>
      </c>
      <c r="I21">
        <v>108.69750000000001</v>
      </c>
      <c r="J21">
        <f t="shared" si="1"/>
        <v>326.09250000000003</v>
      </c>
    </row>
    <row r="22" spans="1:10" x14ac:dyDescent="0.25">
      <c r="A22">
        <v>310000054</v>
      </c>
      <c r="B22">
        <v>3</v>
      </c>
      <c r="C22">
        <v>108.69499999999999</v>
      </c>
      <c r="D22">
        <f t="shared" si="0"/>
        <v>326.08499999999998</v>
      </c>
      <c r="G22" t="s">
        <v>90</v>
      </c>
      <c r="H22">
        <v>1</v>
      </c>
      <c r="I22">
        <v>22.61</v>
      </c>
      <c r="J22">
        <f t="shared" si="1"/>
        <v>22.61</v>
      </c>
    </row>
    <row r="23" spans="1:10" x14ac:dyDescent="0.25">
      <c r="A23">
        <v>310000054</v>
      </c>
      <c r="B23">
        <v>3</v>
      </c>
      <c r="C23">
        <v>108.69750000000001</v>
      </c>
      <c r="D23">
        <f t="shared" si="0"/>
        <v>326.09250000000003</v>
      </c>
      <c r="G23" t="s">
        <v>91</v>
      </c>
      <c r="H23">
        <v>3</v>
      </c>
      <c r="I23">
        <v>34.78</v>
      </c>
      <c r="J23">
        <f t="shared" si="1"/>
        <v>104.34</v>
      </c>
    </row>
    <row r="24" spans="1:10" x14ac:dyDescent="0.25">
      <c r="A24">
        <v>310000053</v>
      </c>
      <c r="B24">
        <v>1</v>
      </c>
      <c r="C24">
        <v>22.61</v>
      </c>
      <c r="D24">
        <f t="shared" si="0"/>
        <v>22.61</v>
      </c>
      <c r="G24" t="s">
        <v>92</v>
      </c>
      <c r="H24">
        <v>3</v>
      </c>
      <c r="I24">
        <v>113.04</v>
      </c>
      <c r="J24">
        <f t="shared" si="1"/>
        <v>339.12</v>
      </c>
    </row>
    <row r="25" spans="1:10" x14ac:dyDescent="0.25">
      <c r="A25">
        <v>310000051</v>
      </c>
      <c r="B25">
        <v>3</v>
      </c>
      <c r="C25">
        <v>34.78</v>
      </c>
      <c r="D25">
        <f t="shared" si="0"/>
        <v>104.34</v>
      </c>
      <c r="G25" t="s">
        <v>93</v>
      </c>
      <c r="H25">
        <v>2</v>
      </c>
      <c r="I25">
        <v>750</v>
      </c>
      <c r="J25">
        <f t="shared" si="1"/>
        <v>1500</v>
      </c>
    </row>
    <row r="26" spans="1:10" x14ac:dyDescent="0.25">
      <c r="A26">
        <v>310000050</v>
      </c>
      <c r="B26">
        <v>3</v>
      </c>
      <c r="C26">
        <v>113.04</v>
      </c>
      <c r="D26">
        <f t="shared" si="0"/>
        <v>339.12</v>
      </c>
      <c r="G26" t="s">
        <v>94</v>
      </c>
      <c r="H26">
        <v>3</v>
      </c>
      <c r="I26">
        <v>69.569999999999993</v>
      </c>
      <c r="J26">
        <f t="shared" si="1"/>
        <v>208.70999999999998</v>
      </c>
    </row>
    <row r="27" spans="1:10" x14ac:dyDescent="0.25">
      <c r="A27">
        <v>310000045</v>
      </c>
      <c r="B27">
        <v>10</v>
      </c>
      <c r="C27">
        <v>750</v>
      </c>
      <c r="D27">
        <f t="shared" si="0"/>
        <v>7500</v>
      </c>
      <c r="G27" t="s">
        <v>95</v>
      </c>
      <c r="H27">
        <v>2</v>
      </c>
      <c r="I27">
        <v>832.44</v>
      </c>
      <c r="J27">
        <f t="shared" si="1"/>
        <v>1664.88</v>
      </c>
    </row>
    <row r="28" spans="1:10" x14ac:dyDescent="0.25">
      <c r="A28">
        <v>310000044</v>
      </c>
      <c r="B28">
        <v>1</v>
      </c>
      <c r="C28">
        <v>160</v>
      </c>
      <c r="D28">
        <f t="shared" si="0"/>
        <v>160</v>
      </c>
      <c r="G28" t="s">
        <v>96</v>
      </c>
      <c r="H28">
        <v>10</v>
      </c>
      <c r="I28">
        <v>10</v>
      </c>
      <c r="J28">
        <f t="shared" si="1"/>
        <v>100</v>
      </c>
    </row>
    <row r="29" spans="1:10" x14ac:dyDescent="0.25">
      <c r="A29">
        <v>310000043</v>
      </c>
      <c r="B29">
        <v>2</v>
      </c>
      <c r="C29">
        <v>160</v>
      </c>
      <c r="D29">
        <f t="shared" si="0"/>
        <v>320</v>
      </c>
      <c r="G29" t="s">
        <v>96</v>
      </c>
      <c r="H29">
        <v>10</v>
      </c>
      <c r="I29">
        <v>75</v>
      </c>
      <c r="J29">
        <f t="shared" si="1"/>
        <v>750</v>
      </c>
    </row>
    <row r="30" spans="1:10" x14ac:dyDescent="0.25">
      <c r="A30">
        <v>310000042</v>
      </c>
      <c r="B30">
        <v>5</v>
      </c>
      <c r="C30">
        <v>69.569999999999993</v>
      </c>
      <c r="D30">
        <f t="shared" si="0"/>
        <v>347.84999999999997</v>
      </c>
      <c r="G30" t="s">
        <v>97</v>
      </c>
      <c r="H30">
        <v>5</v>
      </c>
      <c r="I30">
        <v>75</v>
      </c>
      <c r="J30">
        <f t="shared" si="1"/>
        <v>375</v>
      </c>
    </row>
    <row r="31" spans="1:10" x14ac:dyDescent="0.25">
      <c r="A31">
        <v>310000041</v>
      </c>
      <c r="B31">
        <v>6</v>
      </c>
      <c r="C31">
        <v>300</v>
      </c>
      <c r="D31">
        <f t="shared" si="0"/>
        <v>1800</v>
      </c>
      <c r="G31" t="s">
        <v>98</v>
      </c>
      <c r="H31">
        <v>2</v>
      </c>
      <c r="I31">
        <v>165.22</v>
      </c>
      <c r="J31">
        <f t="shared" si="1"/>
        <v>330.44</v>
      </c>
    </row>
    <row r="32" spans="1:10" x14ac:dyDescent="0.25">
      <c r="A32">
        <v>310000040</v>
      </c>
      <c r="B32">
        <v>6</v>
      </c>
      <c r="C32">
        <v>140</v>
      </c>
      <c r="D32">
        <f t="shared" si="0"/>
        <v>840</v>
      </c>
      <c r="G32" t="s">
        <v>99</v>
      </c>
      <c r="H32">
        <v>12</v>
      </c>
      <c r="I32">
        <v>103.083</v>
      </c>
      <c r="J32">
        <f t="shared" si="1"/>
        <v>1236.9960000000001</v>
      </c>
    </row>
    <row r="33" spans="1:10" x14ac:dyDescent="0.25">
      <c r="A33">
        <v>310000039</v>
      </c>
      <c r="B33">
        <v>14</v>
      </c>
      <c r="C33">
        <v>90</v>
      </c>
      <c r="D33">
        <f t="shared" si="0"/>
        <v>1260</v>
      </c>
      <c r="G33" t="s">
        <v>100</v>
      </c>
      <c r="H33">
        <v>1</v>
      </c>
      <c r="I33">
        <v>385</v>
      </c>
      <c r="J33">
        <f t="shared" si="1"/>
        <v>385</v>
      </c>
    </row>
    <row r="34" spans="1:10" x14ac:dyDescent="0.25">
      <c r="A34">
        <v>310000038</v>
      </c>
      <c r="B34">
        <v>100</v>
      </c>
      <c r="C34">
        <v>832.44</v>
      </c>
      <c r="D34">
        <f t="shared" si="0"/>
        <v>83244</v>
      </c>
      <c r="G34" t="s">
        <v>101</v>
      </c>
      <c r="H34">
        <v>1</v>
      </c>
      <c r="I34">
        <v>395</v>
      </c>
      <c r="J34">
        <f t="shared" si="1"/>
        <v>395</v>
      </c>
    </row>
    <row r="35" spans="1:10" x14ac:dyDescent="0.25">
      <c r="A35">
        <v>310000036</v>
      </c>
      <c r="B35">
        <v>10</v>
      </c>
      <c r="C35">
        <v>10</v>
      </c>
      <c r="D35">
        <f t="shared" si="0"/>
        <v>100</v>
      </c>
      <c r="G35" t="s">
        <v>102</v>
      </c>
      <c r="H35">
        <v>2</v>
      </c>
      <c r="I35">
        <v>1437</v>
      </c>
      <c r="J35">
        <f t="shared" si="1"/>
        <v>2874</v>
      </c>
    </row>
    <row r="36" spans="1:10" x14ac:dyDescent="0.25">
      <c r="A36">
        <v>310000036</v>
      </c>
      <c r="B36">
        <v>10</v>
      </c>
      <c r="C36">
        <v>75</v>
      </c>
      <c r="D36">
        <f t="shared" si="0"/>
        <v>750</v>
      </c>
      <c r="G36" t="s">
        <v>103</v>
      </c>
      <c r="H36">
        <v>1</v>
      </c>
      <c r="I36">
        <v>1750</v>
      </c>
      <c r="J36">
        <f t="shared" si="1"/>
        <v>1750</v>
      </c>
    </row>
    <row r="37" spans="1:10" x14ac:dyDescent="0.25">
      <c r="A37">
        <v>310000035</v>
      </c>
      <c r="B37">
        <v>100</v>
      </c>
      <c r="C37">
        <v>75</v>
      </c>
      <c r="D37">
        <f t="shared" si="0"/>
        <v>7500</v>
      </c>
      <c r="G37" t="s">
        <v>104</v>
      </c>
      <c r="H37">
        <v>1</v>
      </c>
      <c r="I37">
        <v>3200</v>
      </c>
      <c r="J37">
        <f t="shared" si="1"/>
        <v>3200</v>
      </c>
    </row>
    <row r="38" spans="1:10" x14ac:dyDescent="0.25">
      <c r="A38">
        <v>310000033</v>
      </c>
      <c r="B38">
        <v>2</v>
      </c>
      <c r="C38">
        <v>165.22</v>
      </c>
      <c r="D38">
        <f t="shared" si="0"/>
        <v>330.44</v>
      </c>
      <c r="G38" t="s">
        <v>105</v>
      </c>
      <c r="H38">
        <v>1</v>
      </c>
      <c r="I38">
        <v>3304.5709999999999</v>
      </c>
      <c r="J38">
        <f t="shared" si="1"/>
        <v>3304.5709999999999</v>
      </c>
    </row>
    <row r="39" spans="1:10" x14ac:dyDescent="0.25">
      <c r="A39">
        <v>310000026</v>
      </c>
      <c r="B39">
        <v>12</v>
      </c>
      <c r="C39">
        <v>103.083</v>
      </c>
      <c r="D39">
        <f t="shared" si="0"/>
        <v>1236.9960000000001</v>
      </c>
      <c r="G39" t="s">
        <v>106</v>
      </c>
      <c r="H39">
        <v>2</v>
      </c>
      <c r="I39">
        <v>1951</v>
      </c>
      <c r="J39">
        <f t="shared" si="1"/>
        <v>3902</v>
      </c>
    </row>
    <row r="40" spans="1:10" x14ac:dyDescent="0.25">
      <c r="A40">
        <v>310000025</v>
      </c>
      <c r="B40">
        <v>12</v>
      </c>
      <c r="C40">
        <v>340</v>
      </c>
      <c r="D40">
        <f t="shared" si="0"/>
        <v>4080</v>
      </c>
      <c r="G40" t="s">
        <v>107</v>
      </c>
      <c r="H40">
        <v>3</v>
      </c>
      <c r="I40">
        <v>4550</v>
      </c>
      <c r="J40">
        <f t="shared" si="1"/>
        <v>13650</v>
      </c>
    </row>
    <row r="41" spans="1:10" x14ac:dyDescent="0.25">
      <c r="A41">
        <v>310000025</v>
      </c>
      <c r="B41">
        <v>2</v>
      </c>
      <c r="C41">
        <v>331.83300000000003</v>
      </c>
      <c r="D41">
        <f t="shared" si="0"/>
        <v>663.66600000000005</v>
      </c>
      <c r="G41" t="s">
        <v>108</v>
      </c>
      <c r="H41">
        <v>150</v>
      </c>
      <c r="I41">
        <v>160</v>
      </c>
      <c r="J41">
        <f t="shared" si="1"/>
        <v>24000</v>
      </c>
    </row>
    <row r="42" spans="1:10" x14ac:dyDescent="0.25">
      <c r="A42">
        <v>310000024</v>
      </c>
      <c r="B42">
        <v>1</v>
      </c>
      <c r="C42">
        <v>385</v>
      </c>
      <c r="D42">
        <f t="shared" si="0"/>
        <v>385</v>
      </c>
      <c r="G42" t="s">
        <v>109</v>
      </c>
      <c r="H42">
        <v>8</v>
      </c>
      <c r="I42">
        <v>740.42</v>
      </c>
      <c r="J42">
        <f t="shared" si="1"/>
        <v>5923.36</v>
      </c>
    </row>
    <row r="43" spans="1:10" x14ac:dyDescent="0.25">
      <c r="A43">
        <v>310000023</v>
      </c>
      <c r="B43">
        <v>3</v>
      </c>
      <c r="C43">
        <v>304</v>
      </c>
      <c r="D43">
        <f t="shared" si="0"/>
        <v>912</v>
      </c>
      <c r="G43" t="s">
        <v>109</v>
      </c>
      <c r="H43">
        <v>1</v>
      </c>
      <c r="I43">
        <v>732.08600000000001</v>
      </c>
      <c r="J43">
        <f t="shared" si="1"/>
        <v>732.08600000000001</v>
      </c>
    </row>
    <row r="44" spans="1:10" x14ac:dyDescent="0.25">
      <c r="A44">
        <v>310000023</v>
      </c>
      <c r="B44">
        <v>6</v>
      </c>
      <c r="C44">
        <v>318</v>
      </c>
      <c r="D44">
        <f t="shared" si="0"/>
        <v>1908</v>
      </c>
      <c r="G44" t="s">
        <v>110</v>
      </c>
      <c r="H44">
        <v>30</v>
      </c>
      <c r="I44">
        <v>384.21</v>
      </c>
      <c r="J44">
        <f t="shared" si="1"/>
        <v>11526.3</v>
      </c>
    </row>
    <row r="45" spans="1:10" x14ac:dyDescent="0.25">
      <c r="A45">
        <v>310000021</v>
      </c>
      <c r="B45">
        <v>2</v>
      </c>
      <c r="C45">
        <v>630</v>
      </c>
      <c r="D45">
        <f t="shared" si="0"/>
        <v>1260</v>
      </c>
      <c r="G45" t="s">
        <v>111</v>
      </c>
      <c r="H45">
        <v>10</v>
      </c>
      <c r="I45">
        <v>1075</v>
      </c>
      <c r="J45">
        <f t="shared" si="1"/>
        <v>10750</v>
      </c>
    </row>
    <row r="46" spans="1:10" x14ac:dyDescent="0.25">
      <c r="A46">
        <v>310000020</v>
      </c>
      <c r="B46">
        <v>2</v>
      </c>
      <c r="C46">
        <v>395</v>
      </c>
      <c r="D46">
        <f t="shared" si="0"/>
        <v>790</v>
      </c>
      <c r="G46" t="s">
        <v>112</v>
      </c>
      <c r="H46">
        <v>245</v>
      </c>
      <c r="I46">
        <v>695</v>
      </c>
      <c r="J46">
        <f t="shared" si="1"/>
        <v>170275</v>
      </c>
    </row>
    <row r="47" spans="1:10" x14ac:dyDescent="0.25">
      <c r="A47">
        <v>310000019</v>
      </c>
      <c r="B47">
        <v>9</v>
      </c>
      <c r="C47">
        <v>560</v>
      </c>
      <c r="D47">
        <f t="shared" si="0"/>
        <v>5040</v>
      </c>
      <c r="G47" t="s">
        <v>113</v>
      </c>
      <c r="H47">
        <v>25</v>
      </c>
      <c r="I47">
        <v>997</v>
      </c>
      <c r="J47">
        <f t="shared" si="1"/>
        <v>24925</v>
      </c>
    </row>
    <row r="48" spans="1:10" x14ac:dyDescent="0.25">
      <c r="A48">
        <v>310000018</v>
      </c>
      <c r="B48">
        <v>2</v>
      </c>
      <c r="C48">
        <v>1437</v>
      </c>
      <c r="D48">
        <f t="shared" si="0"/>
        <v>2874</v>
      </c>
      <c r="G48" t="s">
        <v>114</v>
      </c>
      <c r="H48">
        <v>58</v>
      </c>
      <c r="I48">
        <v>684.2</v>
      </c>
      <c r="J48">
        <f t="shared" si="1"/>
        <v>39683.600000000006</v>
      </c>
    </row>
    <row r="49" spans="1:10" x14ac:dyDescent="0.25">
      <c r="A49">
        <v>310000017</v>
      </c>
      <c r="B49">
        <v>1</v>
      </c>
      <c r="C49">
        <v>1750</v>
      </c>
      <c r="D49">
        <f t="shared" si="0"/>
        <v>1750</v>
      </c>
      <c r="G49" t="s">
        <v>115</v>
      </c>
      <c r="H49">
        <v>26</v>
      </c>
      <c r="I49">
        <v>597</v>
      </c>
      <c r="J49">
        <f t="shared" si="1"/>
        <v>15522</v>
      </c>
    </row>
    <row r="50" spans="1:10" x14ac:dyDescent="0.25">
      <c r="A50">
        <v>310000016</v>
      </c>
      <c r="B50">
        <v>3</v>
      </c>
      <c r="C50">
        <v>3200</v>
      </c>
      <c r="D50">
        <f t="shared" si="0"/>
        <v>9600</v>
      </c>
      <c r="G50" t="s">
        <v>116</v>
      </c>
      <c r="H50">
        <v>77</v>
      </c>
      <c r="I50">
        <v>615</v>
      </c>
      <c r="J50">
        <f t="shared" si="1"/>
        <v>47355</v>
      </c>
    </row>
    <row r="51" spans="1:10" x14ac:dyDescent="0.25">
      <c r="A51">
        <v>310000015</v>
      </c>
      <c r="B51">
        <v>3</v>
      </c>
      <c r="C51">
        <v>2686.3330000000001</v>
      </c>
      <c r="D51">
        <f t="shared" si="0"/>
        <v>8058.9989999999998</v>
      </c>
      <c r="J51" s="6">
        <f>SUM(J2:J50)</f>
        <v>477584.74439999997</v>
      </c>
    </row>
    <row r="52" spans="1:10" x14ac:dyDescent="0.25">
      <c r="A52">
        <v>310000014</v>
      </c>
      <c r="B52">
        <v>1</v>
      </c>
      <c r="C52">
        <v>3200</v>
      </c>
      <c r="D52">
        <f t="shared" si="0"/>
        <v>3200</v>
      </c>
    </row>
    <row r="53" spans="1:10" x14ac:dyDescent="0.25">
      <c r="A53">
        <v>310000014</v>
      </c>
      <c r="B53">
        <v>6</v>
      </c>
      <c r="C53">
        <v>3322</v>
      </c>
      <c r="D53">
        <f t="shared" si="0"/>
        <v>19932</v>
      </c>
    </row>
    <row r="54" spans="1:10" x14ac:dyDescent="0.25">
      <c r="A54">
        <v>310000013</v>
      </c>
      <c r="B54">
        <v>5</v>
      </c>
      <c r="C54">
        <v>1951</v>
      </c>
      <c r="D54">
        <f t="shared" si="0"/>
        <v>9755</v>
      </c>
    </row>
    <row r="55" spans="1:10" x14ac:dyDescent="0.25">
      <c r="A55">
        <v>310000012</v>
      </c>
      <c r="B55">
        <v>6</v>
      </c>
      <c r="C55">
        <v>4550</v>
      </c>
      <c r="D55">
        <f t="shared" si="0"/>
        <v>27300</v>
      </c>
    </row>
    <row r="56" spans="1:10" x14ac:dyDescent="0.25">
      <c r="A56">
        <v>310000011</v>
      </c>
      <c r="B56">
        <v>200</v>
      </c>
      <c r="C56">
        <v>160</v>
      </c>
      <c r="D56">
        <f t="shared" si="0"/>
        <v>32000</v>
      </c>
    </row>
    <row r="57" spans="1:10" x14ac:dyDescent="0.25">
      <c r="A57">
        <v>310000010</v>
      </c>
      <c r="B57">
        <v>16</v>
      </c>
      <c r="C57">
        <v>680</v>
      </c>
      <c r="D57">
        <f t="shared" si="0"/>
        <v>10880</v>
      </c>
    </row>
    <row r="58" spans="1:10" x14ac:dyDescent="0.25">
      <c r="A58">
        <v>310000010</v>
      </c>
      <c r="B58">
        <v>100</v>
      </c>
      <c r="C58">
        <v>740.42</v>
      </c>
      <c r="D58">
        <f t="shared" si="0"/>
        <v>74042</v>
      </c>
    </row>
    <row r="59" spans="1:10" x14ac:dyDescent="0.25">
      <c r="A59">
        <v>310000009</v>
      </c>
      <c r="B59">
        <v>53</v>
      </c>
      <c r="C59">
        <v>384.21</v>
      </c>
      <c r="D59">
        <f t="shared" si="0"/>
        <v>20363.129999999997</v>
      </c>
    </row>
    <row r="60" spans="1:10" x14ac:dyDescent="0.25">
      <c r="A60">
        <v>310000007</v>
      </c>
      <c r="B60">
        <v>100</v>
      </c>
      <c r="C60">
        <v>807.04</v>
      </c>
      <c r="D60">
        <f t="shared" si="0"/>
        <v>80704</v>
      </c>
    </row>
    <row r="61" spans="1:10" x14ac:dyDescent="0.25">
      <c r="A61">
        <v>310000007</v>
      </c>
      <c r="B61">
        <v>22</v>
      </c>
      <c r="C61">
        <v>821.74</v>
      </c>
      <c r="D61">
        <f t="shared" si="0"/>
        <v>18078.28</v>
      </c>
    </row>
    <row r="62" spans="1:10" x14ac:dyDescent="0.25">
      <c r="A62">
        <v>310000006</v>
      </c>
      <c r="B62">
        <v>83</v>
      </c>
      <c r="C62">
        <v>1075</v>
      </c>
      <c r="D62">
        <f t="shared" si="0"/>
        <v>89225</v>
      </c>
    </row>
    <row r="63" spans="1:10" x14ac:dyDescent="0.25">
      <c r="A63">
        <v>310000005</v>
      </c>
      <c r="B63">
        <v>159</v>
      </c>
      <c r="C63">
        <v>700</v>
      </c>
      <c r="D63">
        <f t="shared" si="0"/>
        <v>111300</v>
      </c>
    </row>
    <row r="64" spans="1:10" x14ac:dyDescent="0.25">
      <c r="A64">
        <v>310000005</v>
      </c>
      <c r="B64">
        <v>300</v>
      </c>
      <c r="C64">
        <v>695</v>
      </c>
      <c r="D64">
        <f t="shared" si="0"/>
        <v>208500</v>
      </c>
      <c r="I64" s="9">
        <f>D69-J51</f>
        <v>900208.41800000006</v>
      </c>
    </row>
    <row r="65" spans="1:10" x14ac:dyDescent="0.25">
      <c r="A65">
        <v>310000004</v>
      </c>
      <c r="B65">
        <v>47</v>
      </c>
      <c r="C65">
        <v>997</v>
      </c>
      <c r="D65">
        <f t="shared" si="0"/>
        <v>46859</v>
      </c>
    </row>
    <row r="66" spans="1:10" x14ac:dyDescent="0.25">
      <c r="A66">
        <v>310000003</v>
      </c>
      <c r="B66">
        <v>95</v>
      </c>
      <c r="C66">
        <v>684.2</v>
      </c>
      <c r="D66">
        <f t="shared" ref="D66:D68" si="2">B66*C66</f>
        <v>64999.000000000007</v>
      </c>
    </row>
    <row r="67" spans="1:10" x14ac:dyDescent="0.25">
      <c r="A67">
        <v>310000002</v>
      </c>
      <c r="B67">
        <v>132</v>
      </c>
      <c r="C67">
        <v>597</v>
      </c>
      <c r="D67">
        <f t="shared" si="2"/>
        <v>78804</v>
      </c>
    </row>
    <row r="68" spans="1:10" x14ac:dyDescent="0.25">
      <c r="A68">
        <v>310000001</v>
      </c>
      <c r="B68">
        <v>313</v>
      </c>
      <c r="C68">
        <v>615</v>
      </c>
      <c r="D68">
        <f t="shared" si="2"/>
        <v>192495</v>
      </c>
    </row>
    <row r="69" spans="1:10" x14ac:dyDescent="0.25">
      <c r="D69" s="6">
        <f>SUM(D1:D68)</f>
        <v>1377793.1624</v>
      </c>
    </row>
    <row r="72" spans="1:10" x14ac:dyDescent="0.25">
      <c r="H72">
        <v>-3300</v>
      </c>
      <c r="J72">
        <v>20</v>
      </c>
    </row>
    <row r="73" spans="1:10" x14ac:dyDescent="0.25">
      <c r="B73" s="6"/>
      <c r="H73">
        <v>-2091</v>
      </c>
      <c r="J73">
        <v>22.61</v>
      </c>
    </row>
    <row r="74" spans="1:10" x14ac:dyDescent="0.25">
      <c r="H74">
        <v>20</v>
      </c>
      <c r="J74">
        <v>100</v>
      </c>
    </row>
    <row r="75" spans="1:10" x14ac:dyDescent="0.25">
      <c r="H75">
        <v>22.61</v>
      </c>
      <c r="J75">
        <v>100</v>
      </c>
    </row>
    <row r="76" spans="1:10" x14ac:dyDescent="0.25">
      <c r="H76">
        <v>100</v>
      </c>
      <c r="J76">
        <v>104.34</v>
      </c>
    </row>
    <row r="77" spans="1:10" x14ac:dyDescent="0.25">
      <c r="H77">
        <v>100</v>
      </c>
      <c r="J77">
        <v>121.74</v>
      </c>
    </row>
    <row r="78" spans="1:10" x14ac:dyDescent="0.25">
      <c r="H78">
        <v>104.34</v>
      </c>
      <c r="J78">
        <v>121.74</v>
      </c>
    </row>
    <row r="79" spans="1:10" x14ac:dyDescent="0.25">
      <c r="H79">
        <v>121.74</v>
      </c>
      <c r="J79">
        <v>121.74</v>
      </c>
    </row>
    <row r="80" spans="1:10" x14ac:dyDescent="0.25">
      <c r="H80">
        <v>121.74</v>
      </c>
      <c r="J80">
        <v>126.09</v>
      </c>
    </row>
    <row r="81" spans="8:10" x14ac:dyDescent="0.25">
      <c r="H81">
        <v>121.74</v>
      </c>
      <c r="J81">
        <v>126.09</v>
      </c>
    </row>
    <row r="82" spans="8:10" x14ac:dyDescent="0.25">
      <c r="H82">
        <v>126.09</v>
      </c>
      <c r="J82">
        <v>126.09</v>
      </c>
    </row>
    <row r="83" spans="8:10" x14ac:dyDescent="0.25">
      <c r="H83">
        <v>126.09</v>
      </c>
      <c r="J83">
        <v>126.09</v>
      </c>
    </row>
    <row r="84" spans="8:10" x14ac:dyDescent="0.25">
      <c r="H84">
        <v>126.09</v>
      </c>
      <c r="J84">
        <v>165.22</v>
      </c>
    </row>
    <row r="85" spans="8:10" x14ac:dyDescent="0.25">
      <c r="H85">
        <v>126.09</v>
      </c>
      <c r="J85">
        <v>165.22</v>
      </c>
    </row>
    <row r="86" spans="8:10" x14ac:dyDescent="0.25">
      <c r="H86">
        <v>139.13999999999999</v>
      </c>
      <c r="J86">
        <v>208.71</v>
      </c>
    </row>
    <row r="87" spans="8:10" x14ac:dyDescent="0.25">
      <c r="H87">
        <v>160</v>
      </c>
      <c r="J87">
        <v>220</v>
      </c>
    </row>
    <row r="88" spans="8:10" x14ac:dyDescent="0.25">
      <c r="H88">
        <v>165.22</v>
      </c>
      <c r="J88">
        <v>220</v>
      </c>
    </row>
    <row r="89" spans="8:10" x14ac:dyDescent="0.25">
      <c r="H89">
        <v>165.22</v>
      </c>
      <c r="J89">
        <v>220</v>
      </c>
    </row>
    <row r="90" spans="8:10" x14ac:dyDescent="0.25">
      <c r="H90">
        <v>208.71</v>
      </c>
      <c r="J90">
        <v>250</v>
      </c>
    </row>
    <row r="91" spans="8:10" x14ac:dyDescent="0.25">
      <c r="H91">
        <v>220</v>
      </c>
      <c r="J91">
        <v>326.08499999999998</v>
      </c>
    </row>
    <row r="92" spans="8:10" x14ac:dyDescent="0.25">
      <c r="H92">
        <v>220</v>
      </c>
      <c r="J92">
        <v>326.09249999999997</v>
      </c>
    </row>
    <row r="93" spans="8:10" x14ac:dyDescent="0.25">
      <c r="H93">
        <v>320</v>
      </c>
      <c r="J93">
        <v>339.12</v>
      </c>
    </row>
    <row r="94" spans="8:10" x14ac:dyDescent="0.25">
      <c r="H94">
        <v>326.08499999999998</v>
      </c>
      <c r="J94">
        <v>350</v>
      </c>
    </row>
    <row r="95" spans="8:10" x14ac:dyDescent="0.25">
      <c r="H95">
        <v>326.09249999999997</v>
      </c>
      <c r="J95">
        <v>350</v>
      </c>
    </row>
    <row r="96" spans="8:10" x14ac:dyDescent="0.25">
      <c r="H96">
        <v>339.12</v>
      </c>
      <c r="J96">
        <v>375</v>
      </c>
    </row>
    <row r="97" spans="8:10" x14ac:dyDescent="0.25">
      <c r="H97">
        <v>350</v>
      </c>
      <c r="J97">
        <v>384.21</v>
      </c>
    </row>
    <row r="98" spans="8:10" x14ac:dyDescent="0.25">
      <c r="H98">
        <v>350</v>
      </c>
      <c r="J98">
        <v>385</v>
      </c>
    </row>
    <row r="99" spans="8:10" x14ac:dyDescent="0.25">
      <c r="H99">
        <v>385</v>
      </c>
      <c r="J99">
        <v>395</v>
      </c>
    </row>
    <row r="100" spans="8:10" x14ac:dyDescent="0.25">
      <c r="H100">
        <v>434.8</v>
      </c>
      <c r="J100">
        <v>434.8</v>
      </c>
    </row>
    <row r="101" spans="8:10" x14ac:dyDescent="0.25">
      <c r="H101">
        <v>440</v>
      </c>
      <c r="J101">
        <v>440</v>
      </c>
    </row>
    <row r="102" spans="8:10" x14ac:dyDescent="0.25">
      <c r="H102">
        <v>440</v>
      </c>
      <c r="J102">
        <v>440</v>
      </c>
    </row>
    <row r="103" spans="8:10" x14ac:dyDescent="0.25">
      <c r="H103">
        <v>470</v>
      </c>
      <c r="J103">
        <v>615</v>
      </c>
    </row>
    <row r="104" spans="8:10" x14ac:dyDescent="0.25">
      <c r="H104">
        <v>630</v>
      </c>
      <c r="J104">
        <v>630</v>
      </c>
    </row>
    <row r="105" spans="8:10" x14ac:dyDescent="0.25">
      <c r="H105">
        <v>630</v>
      </c>
      <c r="J105">
        <v>630</v>
      </c>
    </row>
    <row r="106" spans="8:10" x14ac:dyDescent="0.25">
      <c r="H106">
        <v>652.1739</v>
      </c>
      <c r="J106">
        <v>652.1739</v>
      </c>
    </row>
    <row r="107" spans="8:10" x14ac:dyDescent="0.25">
      <c r="H107">
        <v>663.66600000000005</v>
      </c>
      <c r="J107">
        <v>675</v>
      </c>
    </row>
    <row r="108" spans="8:10" x14ac:dyDescent="0.25">
      <c r="H108">
        <v>675</v>
      </c>
      <c r="J108">
        <v>684.2</v>
      </c>
    </row>
    <row r="109" spans="8:10" x14ac:dyDescent="0.25">
      <c r="H109">
        <v>750</v>
      </c>
      <c r="J109">
        <v>732.08600000000001</v>
      </c>
    </row>
    <row r="110" spans="8:10" x14ac:dyDescent="0.25">
      <c r="H110">
        <v>790</v>
      </c>
      <c r="J110">
        <v>750</v>
      </c>
    </row>
    <row r="111" spans="8:10" x14ac:dyDescent="0.25">
      <c r="H111">
        <v>840</v>
      </c>
      <c r="J111">
        <v>750</v>
      </c>
    </row>
    <row r="112" spans="8:10" x14ac:dyDescent="0.25">
      <c r="H112">
        <v>880</v>
      </c>
      <c r="J112">
        <v>750</v>
      </c>
    </row>
    <row r="113" spans="8:10" x14ac:dyDescent="0.25">
      <c r="H113">
        <v>900</v>
      </c>
      <c r="J113">
        <v>832.44</v>
      </c>
    </row>
    <row r="114" spans="8:10" x14ac:dyDescent="0.25">
      <c r="H114">
        <v>912</v>
      </c>
      <c r="J114">
        <v>832.44</v>
      </c>
    </row>
    <row r="115" spans="8:10" x14ac:dyDescent="0.25">
      <c r="H115">
        <v>1236.9960000000001</v>
      </c>
      <c r="J115">
        <v>880</v>
      </c>
    </row>
    <row r="116" spans="8:10" x14ac:dyDescent="0.25">
      <c r="H116">
        <v>1260</v>
      </c>
      <c r="J116">
        <v>900</v>
      </c>
    </row>
    <row r="117" spans="8:10" x14ac:dyDescent="0.25">
      <c r="H117">
        <v>1260</v>
      </c>
      <c r="J117">
        <v>997</v>
      </c>
    </row>
    <row r="118" spans="8:10" x14ac:dyDescent="0.25">
      <c r="H118">
        <v>1260</v>
      </c>
      <c r="J118">
        <v>997</v>
      </c>
    </row>
    <row r="119" spans="8:10" x14ac:dyDescent="0.25">
      <c r="H119">
        <v>1750</v>
      </c>
      <c r="J119">
        <v>997</v>
      </c>
    </row>
    <row r="120" spans="8:10" x14ac:dyDescent="0.25">
      <c r="H120">
        <v>1800</v>
      </c>
      <c r="J120">
        <v>997</v>
      </c>
    </row>
    <row r="121" spans="8:10" x14ac:dyDescent="0.25">
      <c r="H121">
        <v>1908</v>
      </c>
      <c r="J121">
        <v>1236.9960000000001</v>
      </c>
    </row>
    <row r="122" spans="8:10" x14ac:dyDescent="0.25">
      <c r="H122">
        <v>2091</v>
      </c>
      <c r="J122">
        <v>1260</v>
      </c>
    </row>
    <row r="123" spans="8:10" x14ac:dyDescent="0.25">
      <c r="H123">
        <v>2091</v>
      </c>
      <c r="J123">
        <v>1437</v>
      </c>
    </row>
    <row r="124" spans="8:10" x14ac:dyDescent="0.25">
      <c r="H124">
        <v>2640</v>
      </c>
      <c r="J124">
        <v>1437</v>
      </c>
    </row>
    <row r="125" spans="8:10" x14ac:dyDescent="0.25">
      <c r="H125">
        <v>2874</v>
      </c>
      <c r="J125">
        <v>1750</v>
      </c>
    </row>
    <row r="126" spans="8:10" x14ac:dyDescent="0.25">
      <c r="H126">
        <v>3015</v>
      </c>
      <c r="J126">
        <v>1921.05</v>
      </c>
    </row>
    <row r="127" spans="8:10" x14ac:dyDescent="0.25">
      <c r="H127">
        <v>3200</v>
      </c>
      <c r="J127">
        <v>1951</v>
      </c>
    </row>
    <row r="128" spans="8:10" x14ac:dyDescent="0.25">
      <c r="H128">
        <v>3300</v>
      </c>
      <c r="J128">
        <v>1951</v>
      </c>
    </row>
    <row r="129" spans="8:10" x14ac:dyDescent="0.25">
      <c r="H129">
        <v>3300</v>
      </c>
      <c r="J129">
        <v>2091</v>
      </c>
    </row>
    <row r="130" spans="8:10" x14ac:dyDescent="0.25">
      <c r="H130">
        <v>4000</v>
      </c>
      <c r="J130">
        <v>2850</v>
      </c>
    </row>
    <row r="131" spans="8:10" x14ac:dyDescent="0.25">
      <c r="H131">
        <v>4080</v>
      </c>
      <c r="J131">
        <v>2991</v>
      </c>
    </row>
    <row r="132" spans="8:10" x14ac:dyDescent="0.25">
      <c r="H132">
        <v>4550</v>
      </c>
      <c r="J132">
        <v>3015</v>
      </c>
    </row>
    <row r="133" spans="8:10" x14ac:dyDescent="0.25">
      <c r="H133">
        <v>5040</v>
      </c>
      <c r="J133">
        <v>3200</v>
      </c>
    </row>
    <row r="134" spans="8:10" x14ac:dyDescent="0.25">
      <c r="H134">
        <v>6600</v>
      </c>
      <c r="J134">
        <v>3300</v>
      </c>
    </row>
    <row r="135" spans="8:10" x14ac:dyDescent="0.25">
      <c r="H135">
        <v>7500</v>
      </c>
      <c r="J135">
        <v>3304.5709999999999</v>
      </c>
    </row>
    <row r="136" spans="8:10" x14ac:dyDescent="0.25">
      <c r="H136">
        <v>7500</v>
      </c>
      <c r="J136">
        <v>3582</v>
      </c>
    </row>
    <row r="137" spans="8:10" x14ac:dyDescent="0.25">
      <c r="H137">
        <v>7560</v>
      </c>
      <c r="J137">
        <v>3690</v>
      </c>
    </row>
    <row r="138" spans="8:10" x14ac:dyDescent="0.25">
      <c r="H138">
        <v>8058.9989999999998</v>
      </c>
      <c r="J138">
        <v>4000</v>
      </c>
    </row>
    <row r="139" spans="8:10" x14ac:dyDescent="0.25">
      <c r="H139">
        <v>8350</v>
      </c>
      <c r="J139">
        <v>4550</v>
      </c>
    </row>
    <row r="140" spans="8:10" x14ac:dyDescent="0.25">
      <c r="H140">
        <v>9600</v>
      </c>
      <c r="J140">
        <v>4789.3999999999996</v>
      </c>
    </row>
    <row r="141" spans="8:10" x14ac:dyDescent="0.25">
      <c r="H141">
        <v>9755</v>
      </c>
      <c r="J141">
        <v>4985</v>
      </c>
    </row>
    <row r="142" spans="8:10" x14ac:dyDescent="0.25">
      <c r="H142">
        <v>10880</v>
      </c>
      <c r="J142">
        <v>5923.36</v>
      </c>
    </row>
    <row r="143" spans="8:10" x14ac:dyDescent="0.25">
      <c r="H143">
        <v>11400</v>
      </c>
      <c r="J143">
        <v>5982</v>
      </c>
    </row>
    <row r="144" spans="8:10" x14ac:dyDescent="0.25">
      <c r="H144">
        <v>18078.28</v>
      </c>
      <c r="J144">
        <v>6600</v>
      </c>
    </row>
    <row r="145" spans="1:10" x14ac:dyDescent="0.25">
      <c r="A145" t="s">
        <v>119</v>
      </c>
      <c r="B145" t="s">
        <v>120</v>
      </c>
      <c r="C145" t="s">
        <v>121</v>
      </c>
      <c r="D145" t="s">
        <v>122</v>
      </c>
      <c r="E145" t="s">
        <v>123</v>
      </c>
      <c r="H145">
        <v>19932</v>
      </c>
      <c r="J145">
        <v>6979</v>
      </c>
    </row>
    <row r="146" spans="1:10" x14ac:dyDescent="0.25">
      <c r="A146" t="s">
        <v>112</v>
      </c>
      <c r="B146" t="s">
        <v>124</v>
      </c>
      <c r="C146" t="s">
        <v>125</v>
      </c>
      <c r="D146">
        <v>300</v>
      </c>
      <c r="E146">
        <v>695</v>
      </c>
      <c r="F146">
        <f>D146*E146</f>
        <v>208500</v>
      </c>
      <c r="H146">
        <v>20363.13</v>
      </c>
      <c r="J146">
        <v>8350</v>
      </c>
    </row>
    <row r="147" spans="1:10" x14ac:dyDescent="0.25">
      <c r="A147" t="s">
        <v>112</v>
      </c>
      <c r="B147" t="s">
        <v>124</v>
      </c>
      <c r="C147" t="s">
        <v>125</v>
      </c>
      <c r="D147">
        <v>159</v>
      </c>
      <c r="E147">
        <v>700</v>
      </c>
      <c r="F147">
        <f>D147*E147</f>
        <v>111300</v>
      </c>
      <c r="G147">
        <f>(F146+F147)/(D146+D147)</f>
        <v>696.7320261437909</v>
      </c>
      <c r="H147">
        <v>22750</v>
      </c>
      <c r="J147">
        <v>9100</v>
      </c>
    </row>
    <row r="148" spans="1:10" x14ac:dyDescent="0.25">
      <c r="A148" t="s">
        <v>112</v>
      </c>
      <c r="B148" t="s">
        <v>126</v>
      </c>
      <c r="C148" t="s">
        <v>127</v>
      </c>
      <c r="D148">
        <v>18</v>
      </c>
      <c r="E148">
        <v>695</v>
      </c>
      <c r="F148" s="6">
        <f>SUM(F146:F147)</f>
        <v>319800</v>
      </c>
      <c r="G148" s="6">
        <f>(D146+D147)*G147</f>
        <v>319800</v>
      </c>
      <c r="H148">
        <v>32000</v>
      </c>
      <c r="J148">
        <v>9221.0400000000009</v>
      </c>
    </row>
    <row r="149" spans="1:10" x14ac:dyDescent="0.25">
      <c r="A149" t="s">
        <v>112</v>
      </c>
      <c r="B149" t="s">
        <v>128</v>
      </c>
      <c r="C149" t="s">
        <v>127</v>
      </c>
      <c r="D149">
        <v>32</v>
      </c>
      <c r="E149">
        <v>695</v>
      </c>
      <c r="H149">
        <v>36630</v>
      </c>
      <c r="J149">
        <v>10750</v>
      </c>
    </row>
    <row r="150" spans="1:10" x14ac:dyDescent="0.25">
      <c r="A150" t="s">
        <v>112</v>
      </c>
      <c r="B150" t="s">
        <v>129</v>
      </c>
      <c r="C150" t="s">
        <v>127</v>
      </c>
      <c r="D150">
        <v>40</v>
      </c>
      <c r="E150">
        <v>695</v>
      </c>
      <c r="H150">
        <v>46859</v>
      </c>
      <c r="J150">
        <v>11940</v>
      </c>
    </row>
    <row r="151" spans="1:10" x14ac:dyDescent="0.25">
      <c r="A151" t="s">
        <v>112</v>
      </c>
      <c r="B151" t="s">
        <v>130</v>
      </c>
      <c r="C151" t="s">
        <v>127</v>
      </c>
      <c r="D151">
        <v>25</v>
      </c>
      <c r="E151">
        <v>695</v>
      </c>
      <c r="H151">
        <v>50400</v>
      </c>
      <c r="J151">
        <v>12300</v>
      </c>
    </row>
    <row r="152" spans="1:10" x14ac:dyDescent="0.25">
      <c r="A152" t="s">
        <v>112</v>
      </c>
      <c r="B152" t="s">
        <v>131</v>
      </c>
      <c r="C152" t="s">
        <v>127</v>
      </c>
      <c r="D152">
        <v>30</v>
      </c>
      <c r="E152">
        <v>695</v>
      </c>
      <c r="H152">
        <v>64999</v>
      </c>
      <c r="J152">
        <v>12510</v>
      </c>
    </row>
    <row r="153" spans="1:10" x14ac:dyDescent="0.25">
      <c r="A153" t="s">
        <v>112</v>
      </c>
      <c r="B153" t="s">
        <v>132</v>
      </c>
      <c r="C153" t="s">
        <v>127</v>
      </c>
      <c r="D153">
        <v>100</v>
      </c>
      <c r="E153">
        <v>695</v>
      </c>
      <c r="H153">
        <v>74042</v>
      </c>
      <c r="J153">
        <v>17375</v>
      </c>
    </row>
    <row r="154" spans="1:10" x14ac:dyDescent="0.25">
      <c r="D154">
        <f>SUM(D146:D153)</f>
        <v>704</v>
      </c>
      <c r="H154">
        <v>78804</v>
      </c>
      <c r="J154">
        <v>20850</v>
      </c>
    </row>
    <row r="155" spans="1:10" x14ac:dyDescent="0.25">
      <c r="H155">
        <v>80704</v>
      </c>
      <c r="J155">
        <v>22240</v>
      </c>
    </row>
    <row r="156" spans="1:10" x14ac:dyDescent="0.25">
      <c r="H156">
        <v>83244</v>
      </c>
      <c r="J156">
        <v>24000</v>
      </c>
    </row>
    <row r="157" spans="1:10" x14ac:dyDescent="0.25">
      <c r="H157">
        <v>89225</v>
      </c>
      <c r="J157">
        <v>27800</v>
      </c>
    </row>
    <row r="158" spans="1:10" x14ac:dyDescent="0.25">
      <c r="H158">
        <v>111300</v>
      </c>
      <c r="J158">
        <v>30750</v>
      </c>
    </row>
    <row r="159" spans="1:10" x14ac:dyDescent="0.25">
      <c r="H159">
        <v>192495</v>
      </c>
      <c r="J159">
        <v>34210</v>
      </c>
    </row>
    <row r="160" spans="1:10" x14ac:dyDescent="0.25">
      <c r="H160">
        <v>208500</v>
      </c>
      <c r="J160">
        <v>50400</v>
      </c>
    </row>
    <row r="161" spans="8:10" x14ac:dyDescent="0.25">
      <c r="H161" s="8">
        <f>SUM(H72:H160)</f>
        <v>1377793.1624</v>
      </c>
      <c r="J161">
        <v>69500</v>
      </c>
    </row>
    <row r="162" spans="8:10" x14ac:dyDescent="0.25">
      <c r="J162" s="6">
        <f>SUM(J72:J161)</f>
        <v>477584.74439999997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A91D3-643F-4BB9-8D03-CCEBAAE4D8FC}">
  <dimension ref="A1:I429"/>
  <sheetViews>
    <sheetView topLeftCell="A415" workbookViewId="0">
      <selection activeCell="J426" sqref="J426"/>
    </sheetView>
  </sheetViews>
  <sheetFormatPr baseColWidth="10" defaultRowHeight="15" x14ac:dyDescent="0.25"/>
  <sheetData>
    <row r="1" spans="1:3" x14ac:dyDescent="0.25">
      <c r="A1">
        <v>1</v>
      </c>
      <c r="B1">
        <v>504.3</v>
      </c>
      <c r="C1">
        <f>B1*A1</f>
        <v>504.3</v>
      </c>
    </row>
    <row r="2" spans="1:3" x14ac:dyDescent="0.25">
      <c r="A2">
        <v>1</v>
      </c>
      <c r="B2">
        <v>504.3</v>
      </c>
      <c r="C2">
        <f t="shared" ref="C2:C11" si="0">B2*A2</f>
        <v>504.3</v>
      </c>
    </row>
    <row r="3" spans="1:3" x14ac:dyDescent="0.25">
      <c r="A3">
        <v>1</v>
      </c>
      <c r="B3">
        <v>504.3</v>
      </c>
      <c r="C3">
        <f t="shared" si="0"/>
        <v>504.3</v>
      </c>
    </row>
    <row r="4" spans="1:3" x14ac:dyDescent="0.25">
      <c r="A4">
        <v>1</v>
      </c>
      <c r="B4">
        <v>504.3</v>
      </c>
      <c r="C4">
        <f t="shared" si="0"/>
        <v>504.3</v>
      </c>
    </row>
    <row r="5" spans="1:3" x14ac:dyDescent="0.25">
      <c r="A5">
        <v>1</v>
      </c>
      <c r="B5">
        <v>504.3</v>
      </c>
      <c r="C5">
        <f t="shared" si="0"/>
        <v>504.3</v>
      </c>
    </row>
    <row r="6" spans="1:3" x14ac:dyDescent="0.25">
      <c r="A6">
        <v>1</v>
      </c>
      <c r="B6">
        <v>504.3</v>
      </c>
      <c r="C6">
        <f t="shared" si="0"/>
        <v>504.3</v>
      </c>
    </row>
    <row r="7" spans="1:3" x14ac:dyDescent="0.25">
      <c r="A7">
        <v>1</v>
      </c>
      <c r="B7">
        <v>504.3</v>
      </c>
      <c r="C7">
        <f t="shared" si="0"/>
        <v>504.3</v>
      </c>
    </row>
    <row r="8" spans="1:3" x14ac:dyDescent="0.25">
      <c r="A8">
        <v>1</v>
      </c>
      <c r="B8">
        <v>504.3</v>
      </c>
      <c r="C8">
        <f t="shared" si="0"/>
        <v>504.3</v>
      </c>
    </row>
    <row r="9" spans="1:3" x14ac:dyDescent="0.25">
      <c r="A9">
        <v>1</v>
      </c>
      <c r="B9">
        <v>504.3</v>
      </c>
      <c r="C9">
        <f t="shared" si="0"/>
        <v>504.3</v>
      </c>
    </row>
    <row r="10" spans="1:3" x14ac:dyDescent="0.25">
      <c r="A10">
        <v>1</v>
      </c>
      <c r="B10">
        <v>504.3</v>
      </c>
      <c r="C10">
        <f t="shared" si="0"/>
        <v>504.3</v>
      </c>
    </row>
    <row r="11" spans="1:3" x14ac:dyDescent="0.25">
      <c r="A11">
        <v>1</v>
      </c>
      <c r="B11">
        <v>504.3</v>
      </c>
      <c r="C11">
        <f t="shared" si="0"/>
        <v>504.3</v>
      </c>
    </row>
    <row r="12" spans="1:3" x14ac:dyDescent="0.25">
      <c r="A12">
        <f>SUM(A1:A11)</f>
        <v>11</v>
      </c>
      <c r="C12">
        <f>SUM(C1:C11)</f>
        <v>5547.3000000000011</v>
      </c>
    </row>
    <row r="13" spans="1:3" x14ac:dyDescent="0.25">
      <c r="A13">
        <v>2</v>
      </c>
      <c r="B13">
        <v>504.3</v>
      </c>
      <c r="C13">
        <f>A13*B13</f>
        <v>1008.6</v>
      </c>
    </row>
    <row r="14" spans="1:3" x14ac:dyDescent="0.25">
      <c r="A14">
        <v>2</v>
      </c>
      <c r="B14">
        <v>504.3</v>
      </c>
      <c r="C14">
        <f t="shared" ref="C14:C17" si="1">A14*B14</f>
        <v>1008.6</v>
      </c>
    </row>
    <row r="15" spans="1:3" x14ac:dyDescent="0.25">
      <c r="A15">
        <v>4</v>
      </c>
      <c r="B15">
        <v>504.3</v>
      </c>
      <c r="C15">
        <f t="shared" si="1"/>
        <v>2017.2</v>
      </c>
    </row>
    <row r="16" spans="1:3" x14ac:dyDescent="0.25">
      <c r="A16">
        <v>2</v>
      </c>
      <c r="B16">
        <v>504.3</v>
      </c>
      <c r="C16">
        <f t="shared" si="1"/>
        <v>1008.6</v>
      </c>
    </row>
    <row r="17" spans="1:3" x14ac:dyDescent="0.25">
      <c r="A17">
        <v>1</v>
      </c>
      <c r="B17">
        <v>504.3</v>
      </c>
      <c r="C17">
        <f t="shared" si="1"/>
        <v>504.3</v>
      </c>
    </row>
    <row r="18" spans="1:3" x14ac:dyDescent="0.25">
      <c r="A18">
        <f>SUM(A13:A17)</f>
        <v>11</v>
      </c>
      <c r="C18">
        <f>SUM(C13:C17)</f>
        <v>5547.3</v>
      </c>
    </row>
    <row r="421" spans="6:9" x14ac:dyDescent="0.25">
      <c r="F421" t="s">
        <v>179</v>
      </c>
      <c r="G421" t="s">
        <v>180</v>
      </c>
      <c r="H421" t="s">
        <v>181</v>
      </c>
    </row>
    <row r="422" spans="6:9" x14ac:dyDescent="0.25">
      <c r="F422">
        <v>100</v>
      </c>
      <c r="G422">
        <v>100</v>
      </c>
      <c r="H422">
        <f>F422*G422</f>
        <v>10000</v>
      </c>
    </row>
    <row r="423" spans="6:9" x14ac:dyDescent="0.25">
      <c r="F423">
        <v>100</v>
      </c>
      <c r="G423">
        <v>200</v>
      </c>
      <c r="H423">
        <f>F423*G423</f>
        <v>20000</v>
      </c>
    </row>
    <row r="424" spans="6:9" x14ac:dyDescent="0.25">
      <c r="F424">
        <v>-50</v>
      </c>
      <c r="G424">
        <v>100</v>
      </c>
      <c r="H424">
        <f>F424*G424</f>
        <v>-5000</v>
      </c>
    </row>
    <row r="425" spans="6:9" x14ac:dyDescent="0.25">
      <c r="F425">
        <v>-100</v>
      </c>
      <c r="G425">
        <v>200</v>
      </c>
      <c r="H425">
        <f>F425*G425</f>
        <v>-20000</v>
      </c>
    </row>
    <row r="427" spans="6:9" x14ac:dyDescent="0.25">
      <c r="F427">
        <f>SUM(F422:F426)</f>
        <v>50</v>
      </c>
      <c r="H427">
        <f>SUM(H422:H426)</f>
        <v>5000</v>
      </c>
    </row>
    <row r="429" spans="6:9" x14ac:dyDescent="0.25">
      <c r="I429" s="18">
        <f>H427/F427</f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CASOS ERP</vt:lpstr>
      <vt:lpstr>CAMBIOS</vt:lpstr>
      <vt:lpstr>Hoja2</vt:lpstr>
      <vt:lpstr>Hoja3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 Flores</dc:creator>
  <cp:lastModifiedBy>Johann Flores</cp:lastModifiedBy>
  <dcterms:created xsi:type="dcterms:W3CDTF">2015-06-05T18:19:34Z</dcterms:created>
  <dcterms:modified xsi:type="dcterms:W3CDTF">2026-05-21T00:01:40Z</dcterms:modified>
</cp:coreProperties>
</file>